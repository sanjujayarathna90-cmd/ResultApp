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400" firstSheet="11" activeTab="11"/>
  </bookViews>
  <sheets>
    <sheet name="GRADE 6 A" sheetId="19" r:id="rId1"/>
    <sheet name="GRADE 6 B" sheetId="13" r:id="rId2"/>
    <sheet name="GRADE 7  A" sheetId="29" r:id="rId3"/>
    <sheet name="GRADE 7 B" sheetId="30" r:id="rId4"/>
    <sheet name="GRADE 7 C" sheetId="31" r:id="rId5"/>
    <sheet name="GRADE 8 A" sheetId="32" r:id="rId6"/>
    <sheet name="GRADE 8 B" sheetId="33" r:id="rId7"/>
    <sheet name="GRADE 8 C" sheetId="34" r:id="rId8"/>
    <sheet name="GRADE 9  A" sheetId="24" r:id="rId9"/>
    <sheet name="GRADE 9  B" sheetId="25" r:id="rId10"/>
    <sheet name="GRADE 9 C" sheetId="16" r:id="rId11"/>
    <sheet name="GRADE 10A" sheetId="36" r:id="rId12"/>
    <sheet name="GRADE 10B" sheetId="37" r:id="rId13"/>
    <sheet name="GRADE 10C" sheetId="35" r:id="rId14"/>
    <sheet name="GRADE 11A" sheetId="39" r:id="rId15"/>
    <sheet name="GRADE 11B" sheetId="17" r:id="rId16"/>
    <sheet name="GRADE 12" sheetId="38" r:id="rId17"/>
    <sheet name="GRADE 13" sheetId="18" r:id="rId18"/>
  </sheets>
  <definedNames>
    <definedName name="_xlnm._FilterDatabase" localSheetId="14" hidden="1">'GRADE 11A'!#REF!</definedName>
    <definedName name="_xlnm._FilterDatabase" localSheetId="15" hidden="1">'GRADE 11B'!#REF!</definedName>
    <definedName name="_xlnm._FilterDatabase" localSheetId="16" hidden="1">'GRADE 12'!#REF!</definedName>
    <definedName name="_xlnm._FilterDatabase" localSheetId="17" hidden="1">'GRADE 13'!#REF!</definedName>
    <definedName name="_xlnm._FilterDatabase" localSheetId="0" hidden="1">'GRADE 6 A'!#REF!</definedName>
    <definedName name="_xlnm._FilterDatabase" localSheetId="1" hidden="1">'GRADE 6 B'!#REF!</definedName>
    <definedName name="_xlnm._FilterDatabase" localSheetId="2" hidden="1">'GRADE 7  A'!#REF!</definedName>
    <definedName name="_xlnm._FilterDatabase" localSheetId="8" hidden="1">'GRADE 9  A'!#REF!</definedName>
    <definedName name="_xlnm._FilterDatabase" localSheetId="9" hidden="1">'GRADE 9  B'!#REF!</definedName>
    <definedName name="_xlnm._FilterDatabase" localSheetId="10" hidden="1">'GRADE 9 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<sst xmlns="http://schemas.openxmlformats.org/spreadsheetml/2006/main" count="2394" uniqueCount="591">
  <si>
    <t xml:space="preserve"> Grade 6-A - Second Term Test Marks Sheet(2026)</t>
  </si>
  <si>
    <t>School:- R/Theppanawa Kumara Maha Vidyalaya</t>
  </si>
  <si>
    <t>GRADE - 6-A</t>
  </si>
  <si>
    <t>No.</t>
  </si>
  <si>
    <t>Student's Name</t>
  </si>
  <si>
    <t>Class</t>
  </si>
  <si>
    <t xml:space="preserve"> SUBJECTS</t>
  </si>
  <si>
    <t>Total</t>
  </si>
  <si>
    <t xml:space="preserve">Sinhala </t>
  </si>
  <si>
    <t>Mathematics</t>
  </si>
  <si>
    <t>Buddhism</t>
  </si>
  <si>
    <t>English</t>
  </si>
  <si>
    <t>Science</t>
  </si>
  <si>
    <t>History</t>
  </si>
  <si>
    <t>Civic Education</t>
  </si>
  <si>
    <t>Geography</t>
  </si>
  <si>
    <t>Tamil</t>
  </si>
  <si>
    <t>Art</t>
  </si>
  <si>
    <t>Dancing</t>
  </si>
  <si>
    <t>Music</t>
  </si>
  <si>
    <t xml:space="preserve">Health Education </t>
  </si>
  <si>
    <t>P.T.S</t>
  </si>
  <si>
    <t>Average</t>
  </si>
  <si>
    <t>Rank</t>
  </si>
  <si>
    <t>A</t>
  </si>
  <si>
    <t>B</t>
  </si>
  <si>
    <t>C</t>
  </si>
  <si>
    <t>S</t>
  </si>
  <si>
    <t>W</t>
  </si>
  <si>
    <t>AB</t>
  </si>
  <si>
    <t>G.G.Gagana Gayashan Gamage</t>
  </si>
  <si>
    <t>6-A</t>
  </si>
  <si>
    <t>K.Oshindu Janith Premarathna</t>
  </si>
  <si>
    <t>G.Gagana Anuhas Leelananda</t>
  </si>
  <si>
    <t>U.K.isuru Lakshan</t>
  </si>
  <si>
    <t>K.G.Disanda Dilmina Kumara</t>
  </si>
  <si>
    <t>D.D.Oshan Nimsara Disanayake</t>
  </si>
  <si>
    <t>Y.D.Nadeesha Karunarathna</t>
  </si>
  <si>
    <t>U.Hewisara Lasantha</t>
  </si>
  <si>
    <t>K.K.Ramindu Sasmitha Jayasekara</t>
  </si>
  <si>
    <t>K.M.Suranga Lakmal</t>
  </si>
  <si>
    <t>U.Induwara Didulanga</t>
  </si>
  <si>
    <t>Y.Withula Lakpriya</t>
  </si>
  <si>
    <t>W.Sachnidu Nimsara</t>
  </si>
  <si>
    <t>S.Hasarel Prageeth</t>
  </si>
  <si>
    <t>M.K.Pumuditha Oshan</t>
  </si>
  <si>
    <t>K.K.Maheema Sawindya</t>
  </si>
  <si>
    <t>A.M.Buthmi Diwyanjalee</t>
  </si>
  <si>
    <t>B.Wageesha Anudini</t>
  </si>
  <si>
    <t>T.Nethumi Amanda</t>
  </si>
  <si>
    <t>L.K.E.W.Hashani Ranmini</t>
  </si>
  <si>
    <t>P.H.P.Kavinya Rushini</t>
  </si>
  <si>
    <t>A.Kushini Shakya</t>
  </si>
  <si>
    <t>D.A.Sithmi Pabasara</t>
  </si>
  <si>
    <t>D.W.Sayara Mihindi</t>
  </si>
  <si>
    <t>M.A.Iduni Udari</t>
  </si>
  <si>
    <t>J.Wihangi Nikelshiya</t>
  </si>
  <si>
    <t>D.W.Thenuri Thilakshana</t>
  </si>
  <si>
    <t>N.W.Thanuja Prabodani</t>
  </si>
  <si>
    <t>P.Ranuli Maduwanthi</t>
  </si>
  <si>
    <t>K.M.Oshani Nelum</t>
  </si>
  <si>
    <t>K.Pabasara Sandeepani</t>
  </si>
  <si>
    <t xml:space="preserve">ලකුණු පරාසය </t>
  </si>
  <si>
    <t>100-75</t>
  </si>
  <si>
    <t>74-65</t>
  </si>
  <si>
    <t>64-50</t>
  </si>
  <si>
    <t>49-40</t>
  </si>
  <si>
    <t>39-0</t>
  </si>
  <si>
    <t xml:space="preserve"> Grade 6-B Second Term Test Marks Sheet(2026)</t>
  </si>
  <si>
    <t>GRADE - 6-B</t>
  </si>
  <si>
    <t>W.M.Manusha Lakmina</t>
  </si>
  <si>
    <t>6-B</t>
  </si>
  <si>
    <t>S.H.Vihanga Daham</t>
  </si>
  <si>
    <t>K.Dulitha Isura</t>
  </si>
  <si>
    <t>K.G.Sadeesha Nimsara</t>
  </si>
  <si>
    <t>E.Himansa Anuhas</t>
  </si>
  <si>
    <t>O.G.Pubudu Nimsara</t>
  </si>
  <si>
    <t>P.M.Yasiru Lakwidu</t>
  </si>
  <si>
    <t>M.D.Akash Dinujaya</t>
  </si>
  <si>
    <t>E.Hirusha Pansilu</t>
  </si>
  <si>
    <t>D.W.Kanishka Sadew</t>
  </si>
  <si>
    <t>J.A.Chathula Hansana</t>
  </si>
  <si>
    <t>A.W.Dameesha Dewmini</t>
  </si>
  <si>
    <t>B.G.Chathuli Hasara</t>
  </si>
  <si>
    <t>M.N.Bimansa Pahandi</t>
  </si>
  <si>
    <t>K.B.Rithmini Thathsarani</t>
  </si>
  <si>
    <t>Y.A.Rishini Bhagya</t>
  </si>
  <si>
    <t>I.M.Hasagani Dananja</t>
  </si>
  <si>
    <t>M.W.Dilenya Ralini</t>
  </si>
  <si>
    <t>H.K.Nethuli Oshani</t>
  </si>
  <si>
    <t>H.L.Yehani Yasasmi</t>
  </si>
  <si>
    <t>H.M.Chathusha Dumindi</t>
  </si>
  <si>
    <t>U.Sweni Dithya</t>
  </si>
  <si>
    <t>K.M.Sanudi Susanya</t>
  </si>
  <si>
    <t>M.Himansa Sasandi</t>
  </si>
  <si>
    <t>Y.Nehari Ahinsa</t>
  </si>
  <si>
    <t>P.W.Madushika Malkanthi</t>
  </si>
  <si>
    <t>R.Anjana Sankalani Kumari</t>
  </si>
  <si>
    <t>D.B.Wishmi. Praboda Madurangi</t>
  </si>
  <si>
    <t xml:space="preserve"> Grade 7-A  Second Term Test Marks Sheet(2026)</t>
  </si>
  <si>
    <t>R / Theppanawa Kumara M.V.</t>
  </si>
  <si>
    <t>GRADE - 7-A</t>
  </si>
  <si>
    <t>NO</t>
  </si>
  <si>
    <t>G.Maneesha Tiran</t>
  </si>
  <si>
    <t>7-A</t>
  </si>
  <si>
    <t>U.Matheesha Laktharana</t>
  </si>
  <si>
    <t>R.W.M.Riwithma Yasaru</t>
  </si>
  <si>
    <t>G.Chathuka Lakshan</t>
  </si>
  <si>
    <t>A.M.Nimesh Sampath</t>
  </si>
  <si>
    <t>K.A.H.Rashmika Amanda</t>
  </si>
  <si>
    <t>S.Ravindu Rukashan</t>
  </si>
  <si>
    <t>W.M.Rusiru Damsara</t>
  </si>
  <si>
    <t>M.M.Sithumina Suneth</t>
  </si>
  <si>
    <t>G.Chenuka Damsara</t>
  </si>
  <si>
    <t>K.V.Danuka Sathsara</t>
  </si>
  <si>
    <t>E.W.Dasun Wismitha</t>
  </si>
  <si>
    <t>D.W.Pasindu Sathsara</t>
  </si>
  <si>
    <t>W.T.Indusara Amanda</t>
  </si>
  <si>
    <t>M.M.Sasandi Danusha</t>
  </si>
  <si>
    <t>W.Sandasi Sathsarani</t>
  </si>
  <si>
    <t>U.dushanthi Nayani</t>
  </si>
  <si>
    <t>G.K.Sansala Pahandi</t>
  </si>
  <si>
    <t>M.A.Lakmini Pushpakumari</t>
  </si>
  <si>
    <t>K.Nethuni Nimsara</t>
  </si>
  <si>
    <t>L.V.Neranjala Nadeekanthi</t>
  </si>
  <si>
    <t>W.G.Sewmini Dahamsa</t>
  </si>
  <si>
    <t>S.A.Mahidi Moksha</t>
  </si>
  <si>
    <t>E.U.Sandasi Gimhani</t>
  </si>
  <si>
    <t>S.A.Sajani Rivithma</t>
  </si>
  <si>
    <t>H.Harshani Lakshika Kumari</t>
  </si>
  <si>
    <t>N.Thushara Nethulika</t>
  </si>
  <si>
    <t>N.G.Pawani Dhanushika</t>
  </si>
  <si>
    <t>D.M.Nilasi pehesara</t>
  </si>
  <si>
    <t>Marks Range</t>
  </si>
  <si>
    <t>100-76</t>
  </si>
  <si>
    <t>74-66</t>
  </si>
  <si>
    <t>64-51</t>
  </si>
  <si>
    <t>49-41</t>
  </si>
  <si>
    <t>39-1</t>
  </si>
  <si>
    <t>TOTAL</t>
  </si>
  <si>
    <t xml:space="preserve"> Grade 07 - B  Second Term Test Marks Sheet(2026)</t>
  </si>
  <si>
    <t>GRADE - 07-B</t>
  </si>
  <si>
    <t>P.M.Kashmira diwyanjana Premasiri</t>
  </si>
  <si>
    <t>7-B</t>
  </si>
  <si>
    <t>E.W.Ovindu Sadeesha</t>
  </si>
  <si>
    <t>M.M.Kavindu Nethsara</t>
  </si>
  <si>
    <t>Y.H.Manusha Pehasara Indunath</t>
  </si>
  <si>
    <t>E.K.Kamantha Isuru Kumara</t>
  </si>
  <si>
    <t>J.M.Kanishka Nethsara Maduranga</t>
  </si>
  <si>
    <t>M.K.Thevindu Wasthuka Weerasinghe</t>
  </si>
  <si>
    <t>G.M.Teran Dinuka Nuwan Perera</t>
  </si>
  <si>
    <t>D.K.Binura Sathsara</t>
  </si>
  <si>
    <t>K.E.Mesandu Dinula Pushpakumara</t>
  </si>
  <si>
    <t>K.Wishmika Krishan Jayalath</t>
  </si>
  <si>
    <t>S.M.Lithula Kavishka Kumara</t>
  </si>
  <si>
    <t>J.D.Dasun Jayasinghe</t>
  </si>
  <si>
    <t>K.A.Ashani Paboda Koswaththa</t>
  </si>
  <si>
    <t>I.M.Visuli Dahamsa</t>
  </si>
  <si>
    <t>S.Bhagya Sandeepani</t>
  </si>
  <si>
    <t>M.W.Nilnethu Tharuka Abesekara</t>
  </si>
  <si>
    <t>S.A.Monali Lakma Suuriyaarachchi</t>
  </si>
  <si>
    <t>M.Nethumi Shiwandya Karunadasa</t>
  </si>
  <si>
    <t>K.Dasuni Hansara Darmasiri</t>
  </si>
  <si>
    <t>K.K.Janeesha Nawangi Kumarage</t>
  </si>
  <si>
    <t>P.Kaveesha Kavindi Kumara</t>
  </si>
  <si>
    <t>U.T.Dewmini Bhagya</t>
  </si>
  <si>
    <t>P.W.Isurandi Maneesha Kumara</t>
  </si>
  <si>
    <t>K.Dinushi Sharmila Pushpakumari</t>
  </si>
  <si>
    <t>W.Diduli Dahamsa</t>
  </si>
  <si>
    <t>U.Isurangi Chathumini Somaweera</t>
  </si>
  <si>
    <t xml:space="preserve"> Grade 07 - Second Term Test Marks Sheet(2026)</t>
  </si>
  <si>
    <t>GRADE - 07-C</t>
  </si>
  <si>
    <t xml:space="preserve">M.M.Poojana Mihingu Nethusara </t>
  </si>
  <si>
    <t>7-C</t>
  </si>
  <si>
    <t>Y.H. Kalana Pramod Darmasena</t>
  </si>
  <si>
    <t>G.Sadew Pehesara Amarasinghe</t>
  </si>
  <si>
    <t>E.K.Chamindu Sameera Abeywardana</t>
  </si>
  <si>
    <t>U.K.Maneesha Nethsara</t>
  </si>
  <si>
    <t>P.Chenuka Sandeepa Gunawardana</t>
  </si>
  <si>
    <t>W.M.Kaveen Kalpa Dananjaya</t>
  </si>
  <si>
    <t>B.Gayana Anuhas Jayathilaka</t>
  </si>
  <si>
    <t>P.Bhashitha Phan Kumarage</t>
  </si>
  <si>
    <t>N.G.Dinuda Hasamal</t>
  </si>
  <si>
    <t>K.Lakruwan Piyarathna</t>
  </si>
  <si>
    <t>G.Widusha Methsarani</t>
  </si>
  <si>
    <t>L.K.Pahandi Mandakini Jayasinghe</t>
  </si>
  <si>
    <t>R.A.Hasini Sithmini Ranasinghe</t>
  </si>
  <si>
    <t>E.Goshadi Sathulya Jayasena</t>
  </si>
  <si>
    <t>U.Buddila Manoli weerasiri</t>
  </si>
  <si>
    <t>Y.Chathumini Kaveesha Rathnasiri</t>
  </si>
  <si>
    <t>Y.Ayesha Sandani Ranasinghe</t>
  </si>
  <si>
    <t>M.B.Sanduni Sathsarani Thilakarathna</t>
  </si>
  <si>
    <t>H.W.Nisali Ayodya</t>
  </si>
  <si>
    <t>S.M.Samanali Diwyanjani</t>
  </si>
  <si>
    <t>M.P. Dunithi Janeshka Manawarathna</t>
  </si>
  <si>
    <t>K.M.Janudi Sathsarani Wijethilaka</t>
  </si>
  <si>
    <t>E.Raveesha Damsarani Amarasinghe</t>
  </si>
  <si>
    <t>K.Jayani Omasha Sumanapala</t>
  </si>
  <si>
    <t>M.K.Sanduni Saubhagya Malankanda</t>
  </si>
  <si>
    <t>B. Tenisha Kaliduni Karunarathna</t>
  </si>
  <si>
    <t xml:space="preserve">L.K.Thirandi Manulya </t>
  </si>
  <si>
    <t>P.H.P.G.Yashmi Vihansa Sathsarani</t>
  </si>
  <si>
    <t xml:space="preserve"> Grade 08 - Second Term Test Marks Sheet(2026)</t>
  </si>
  <si>
    <t>GRADE - 08-A</t>
  </si>
  <si>
    <t>G.L.Sewwandi</t>
  </si>
  <si>
    <t>8-A</t>
  </si>
  <si>
    <t>P.D.S.Pushpakumara</t>
  </si>
  <si>
    <t>U.A.S.Jayasekara</t>
  </si>
  <si>
    <t>K.A.J.B.Kodikara</t>
  </si>
  <si>
    <t>T.M.K.Indusara</t>
  </si>
  <si>
    <t>A.A.G.L.Abeysingha</t>
  </si>
  <si>
    <t>I.P.N.Dewmini</t>
  </si>
  <si>
    <t>K.M.A.Nehansa</t>
  </si>
  <si>
    <t>W.R.W.Pahanya</t>
  </si>
  <si>
    <t>U.K.C.Weerasekara</t>
  </si>
  <si>
    <t>W.T.Diloosha</t>
  </si>
  <si>
    <t>GRADE 8-B</t>
  </si>
  <si>
    <t>Sinhala</t>
  </si>
  <si>
    <t>K.G.Mavith Deshan</t>
  </si>
  <si>
    <t>8-B</t>
  </si>
  <si>
    <t>H.R.Nimasara Dewapriya</t>
  </si>
  <si>
    <t>W.A.M.Dinuwan Weerasingha</t>
  </si>
  <si>
    <t>G.Pabasara Manuja</t>
  </si>
  <si>
    <t>T.M.Oshan Mihiranga</t>
  </si>
  <si>
    <t>K.M.Denuwan Jayarathna</t>
  </si>
  <si>
    <t>S.W.Methsara Abeysingha</t>
  </si>
  <si>
    <t>J.G.Thisula Nethsara</t>
  </si>
  <si>
    <t>U.Malith Sandruwan</t>
  </si>
  <si>
    <t>U.Sadew Anuhas</t>
  </si>
  <si>
    <t>U.Sithum Anuhas</t>
  </si>
  <si>
    <t>D.G.Pasindu Lakshan</t>
  </si>
  <si>
    <t>E.K.G.Indusra Samaraweera</t>
  </si>
  <si>
    <t>P.D.Amanda Dayananda</t>
  </si>
  <si>
    <t>M.M.G.K.Anuththara</t>
  </si>
  <si>
    <t>U.I.Imansa Jayarathna</t>
  </si>
  <si>
    <t>P.R.Kumara Gamage</t>
  </si>
  <si>
    <t>A.A.S.Nethmina Abeysingha</t>
  </si>
  <si>
    <t>M.K.T.Sadew Jayasekara</t>
  </si>
  <si>
    <t>B.M.Miyuru Damsara Wijethilaka</t>
  </si>
  <si>
    <t>U.C.Janani Samankumara</t>
  </si>
  <si>
    <t>E.K.Ihansa Minduli</t>
  </si>
  <si>
    <t>W.G.T.Imasha Weerasundara</t>
  </si>
  <si>
    <t>W.N.Pabasara Lakshani</t>
  </si>
  <si>
    <t>T.N.Eshadi  Hansanjana</t>
  </si>
  <si>
    <t>U.Supuni Tharaka</t>
  </si>
  <si>
    <t>E.B.Umayangi Sooriyarathna</t>
  </si>
  <si>
    <t>E.M.Lakmi Arunodya</t>
  </si>
  <si>
    <t>P.P.Nisansala Rajapaksha</t>
  </si>
  <si>
    <t>R.H.Mihirangi Anupama</t>
  </si>
  <si>
    <t>K.K.Wimansa Sandamini</t>
  </si>
  <si>
    <t>G.K.Senali Damsara</t>
  </si>
  <si>
    <t>G.W.T.Abhilashi</t>
  </si>
  <si>
    <t>G.K.Kawya Sandamini</t>
  </si>
  <si>
    <t>GRADE - 08-C</t>
  </si>
  <si>
    <t>A.D.R.Dilshan Abeysingha</t>
  </si>
  <si>
    <t>8-C</t>
  </si>
  <si>
    <t>E.M.Heshan Manujaya</t>
  </si>
  <si>
    <t>S.Senura Damsara</t>
  </si>
  <si>
    <t>K.S.Imalka Kumaranayake</t>
  </si>
  <si>
    <t>K.D.Thrishal Kakunahinna</t>
  </si>
  <si>
    <t>P.K.U.M.Hasamal Rathnayake</t>
  </si>
  <si>
    <t>W.R.Pupudu Amanda Kumara</t>
  </si>
  <si>
    <t>P.K.Sajan Kavindu Sathsara</t>
  </si>
  <si>
    <t>T.M.N.Nimsara Dissanayake</t>
  </si>
  <si>
    <t>M.Inuka Dihen Marapana</t>
  </si>
  <si>
    <t>E.K.Rajitha Pabarsara Kumara</t>
  </si>
  <si>
    <t>E.J.M.Tharindu Sampath Ekanayake</t>
  </si>
  <si>
    <t>U.K.U.M.Sasiru Gunasekara</t>
  </si>
  <si>
    <t>B.T.R.Methsara Weerasingha</t>
  </si>
  <si>
    <t>A.R.S.Pabasara Amaradasa</t>
  </si>
  <si>
    <t>A.A.J.Damsara Abeysingha</t>
  </si>
  <si>
    <t>P.P.S.Dasunika Thilakarathna</t>
  </si>
  <si>
    <t>W.M.Thilini Madushani</t>
  </si>
  <si>
    <t>U.Sashini Dahamsa</t>
  </si>
  <si>
    <t>H.A.Shalani Hansika</t>
  </si>
  <si>
    <t>P.B.Ishara Premakumara</t>
  </si>
  <si>
    <t xml:space="preserve">U.Upeksha Dewmini </t>
  </si>
  <si>
    <t>L.Saradhi Sathsarani</t>
  </si>
  <si>
    <t>G.L.Vihangi Jayantha</t>
  </si>
  <si>
    <t>R.B.Heshani Sanjali</t>
  </si>
  <si>
    <t>U.D.Abhisheka Pushpakumara</t>
  </si>
  <si>
    <t>I.A.Imehsa Ismalage</t>
  </si>
  <si>
    <t>G.K.L.Mayumi Godakumara</t>
  </si>
  <si>
    <t>W.R.J.Rasanjali Premadasa</t>
  </si>
  <si>
    <t>J.Umaya Nethmini</t>
  </si>
  <si>
    <t xml:space="preserve">D.W.S.Lochana Jayalath </t>
  </si>
  <si>
    <t xml:space="preserve"> Grade 09 - Second Term Test Marks Sheet(2026)</t>
  </si>
  <si>
    <t>GRADE - 09-A</t>
  </si>
  <si>
    <t>U.Mahesh Priyantha</t>
  </si>
  <si>
    <t>9-A</t>
  </si>
  <si>
    <t>N.W.Dewmina Niroshana</t>
  </si>
  <si>
    <t>Y.Lahiru Sathsara</t>
  </si>
  <si>
    <t>A.W.P.Dasun Jayaweera</t>
  </si>
  <si>
    <t>D.G.L.Pradeep Kumara</t>
  </si>
  <si>
    <t>P.M.D.Randunu Abeysingha</t>
  </si>
  <si>
    <t>A.A.Kavindu Damsara</t>
  </si>
  <si>
    <t>P.G.Priyankara Dharmarathna</t>
  </si>
  <si>
    <t>R.Sanoj Dilum</t>
  </si>
  <si>
    <t>K.K.Pawan Adithya</t>
  </si>
  <si>
    <t>K.G.I.A.Gamage</t>
  </si>
  <si>
    <t>D.W.D.Methsara Kumara</t>
  </si>
  <si>
    <t>A.G.Dulmina Indusara</t>
  </si>
  <si>
    <t>Y.L.S.Methsara Liyanage</t>
  </si>
  <si>
    <t>K.K.Rusiru Pawan</t>
  </si>
  <si>
    <t>S.M.Kushan Adithya</t>
  </si>
  <si>
    <t>K.A.D.Dewmini Keeragala</t>
  </si>
  <si>
    <t>L.K.G.Umedi Uthkarsha</t>
  </si>
  <si>
    <t>W.M.B.Mihindi Gunarathna</t>
  </si>
  <si>
    <t>P.Sadini Maduwanthi</t>
  </si>
  <si>
    <t>I.D.M.Sathsara Jayasingha</t>
  </si>
  <si>
    <t>K.M.V.Vimansi Priyalal</t>
  </si>
  <si>
    <t>D.Thisari Damsara</t>
  </si>
  <si>
    <t>U.Kooshadi Malshani</t>
  </si>
  <si>
    <t>H.P.Chamodi Nethsarani</t>
  </si>
  <si>
    <t>K.Rashmi Chamathka</t>
  </si>
  <si>
    <t>E.K.A.Savindi Kumari</t>
  </si>
  <si>
    <t>W.M.S.Thulanya Wathupitiya</t>
  </si>
  <si>
    <t>P.D.I.Savindi Nethsara</t>
  </si>
  <si>
    <t xml:space="preserve">         </t>
  </si>
  <si>
    <t>GRADE - 09 B</t>
  </si>
  <si>
    <t>D.D.S.Lakshan Kumara</t>
  </si>
  <si>
    <t>9-B</t>
  </si>
  <si>
    <t>G.M.Dhananjaya Amarasingha</t>
  </si>
  <si>
    <t>I.H.Thisula Lakvindu</t>
  </si>
  <si>
    <t>Y.Daminda Rukshan</t>
  </si>
  <si>
    <t>U.Lakshan Mihiranga</t>
  </si>
  <si>
    <t>H.P.C.Randunu Wimalarathna</t>
  </si>
  <si>
    <t>H.U.Isuranga Rathnasiri</t>
  </si>
  <si>
    <t>K.N.Madhushanka Pushpakumara</t>
  </si>
  <si>
    <t>N.W.L.Akash Gunawardhana</t>
  </si>
  <si>
    <t>K.K.D.Madushan Dharmadasa</t>
  </si>
  <si>
    <t>G.K.Yashen Yasawardhana</t>
  </si>
  <si>
    <t>E.L.G.V.Pradeep Dalugoda</t>
  </si>
  <si>
    <t>W.Teran Chamika</t>
  </si>
  <si>
    <t>P.S.Maleesha Denuwan</t>
  </si>
  <si>
    <t>U.Priyangani Srilal</t>
  </si>
  <si>
    <t>Y.Dhananji Kanchanamala</t>
  </si>
  <si>
    <t>S.N.N.Shakya Sathsarani</t>
  </si>
  <si>
    <t>Y.S.Lochana Swarnamali</t>
  </si>
  <si>
    <t>P.Githmi Sathsarani</t>
  </si>
  <si>
    <t>Y.D.Senara Weerasingha</t>
  </si>
  <si>
    <t>H.G.B.Pabasara Wickramasingha</t>
  </si>
  <si>
    <t>K.D.Nawodya Chandradasa</t>
  </si>
  <si>
    <t>Y.D.Nethupaba Rathnasiri</t>
  </si>
  <si>
    <t>P.A.S.Anuththara Madhusankha</t>
  </si>
  <si>
    <t>B.C.Anuththara</t>
  </si>
  <si>
    <t>E.W.Chathumini S.Wijekumari</t>
  </si>
  <si>
    <t>P.N.Nethu Dilrukshi</t>
  </si>
  <si>
    <t xml:space="preserve"> Grade 09-C Second Term Test Marks Sheet(2026)</t>
  </si>
  <si>
    <t>GRADE - 9-C</t>
  </si>
  <si>
    <t>M.V.V.L.Ranasingha</t>
  </si>
  <si>
    <t>Y.Himasha Amantha</t>
  </si>
  <si>
    <t>U.K.Vindyan Samaraweera</t>
  </si>
  <si>
    <t>P.N.S.Sethsara Jayanath</t>
  </si>
  <si>
    <t>H.K.C.J.Senewirathna</t>
  </si>
  <si>
    <t>W.W.S. Pabasara Jayasekara</t>
  </si>
  <si>
    <t>U.Hansana Maleesha samaraweera</t>
  </si>
  <si>
    <t>K.G.M.T.Thikshana Kusumsiri</t>
  </si>
  <si>
    <t>E.R.C.S.Weerasekara</t>
  </si>
  <si>
    <t>W.S.M.V.Rajinda Weerasingha</t>
  </si>
  <si>
    <t>M.M. Kaveesha Sankalpa</t>
  </si>
  <si>
    <t>P.G.Hasitha Sandaruwan</t>
  </si>
  <si>
    <t>D.Yasasthi Prabhashwara</t>
  </si>
  <si>
    <t>Y.S.Dhamsara</t>
  </si>
  <si>
    <t>U.C.Thikshana Weerasiri</t>
  </si>
  <si>
    <t>R.H.Mayumi Kavindya</t>
  </si>
  <si>
    <t>Y.T.Kawya Madhuwanthi</t>
  </si>
  <si>
    <t>U.Thimira Sewmini</t>
  </si>
  <si>
    <t>M.K.Sithumi Chethana</t>
  </si>
  <si>
    <t>W.M.Dalsi Nawodya</t>
  </si>
  <si>
    <t>U.Senuri Nisansala</t>
  </si>
  <si>
    <t>K.N.Dewmini Sankalpana</t>
  </si>
  <si>
    <t>U.Isurandi Abhisheka</t>
  </si>
  <si>
    <t xml:space="preserve">A.W.T.S.Samoodhani jayashantha </t>
  </si>
  <si>
    <t>K.H.Hirushi Navodya</t>
  </si>
  <si>
    <t>P.Ashini Navodya</t>
  </si>
  <si>
    <t>J.G..Imalsha Devindi</t>
  </si>
  <si>
    <t xml:space="preserve"> Grade 10 - Second Term Test Marks Sheet(2026)</t>
  </si>
  <si>
    <t>GRADE - 10 A</t>
  </si>
  <si>
    <t xml:space="preserve"> MAIN SUBJECTS</t>
  </si>
  <si>
    <t>Commerce</t>
  </si>
  <si>
    <t>I.CT</t>
  </si>
  <si>
    <t>Agri</t>
  </si>
  <si>
    <t>Home Science</t>
  </si>
  <si>
    <t>D.K.U.A.Idusara Rathnayaka</t>
  </si>
  <si>
    <t>10-A</t>
  </si>
  <si>
    <t>I.Y.S.Premathilaka</t>
  </si>
  <si>
    <t>M.I.U.L.Jayasundara</t>
  </si>
  <si>
    <t>S.M.Kumara</t>
  </si>
  <si>
    <t>U.K.Bandara</t>
  </si>
  <si>
    <t>Y.H.I.Somarathna</t>
  </si>
  <si>
    <t>M.M.A.Piyathissa</t>
  </si>
  <si>
    <t>G.G.H.N.Dinadith</t>
  </si>
  <si>
    <t>B.A.V.Nimanada Babarenda</t>
  </si>
  <si>
    <t>P.P.Pethum Premathilaka</t>
  </si>
  <si>
    <t>T.M.C.Lakshan Kumara</t>
  </si>
  <si>
    <t>U.I.Dilshan</t>
  </si>
  <si>
    <t>T.M.P.Sithum Kumara</t>
  </si>
  <si>
    <t>P.M.P.sadaruwan Premasiri</t>
  </si>
  <si>
    <t>P.B.Janidu Methsara</t>
  </si>
  <si>
    <t>W.M.I.O.Athsara Vijemanna</t>
  </si>
  <si>
    <t>W.A.Sadun Mahesh Mihiranga</t>
  </si>
  <si>
    <t>L.K.E.W.Umasha Gimahani</t>
  </si>
  <si>
    <t>D.M.A.Abimani Padmasiri</t>
  </si>
  <si>
    <t>J.A.Achini Kaweesha</t>
  </si>
  <si>
    <t>W.R.P.Sewmini Senerath</t>
  </si>
  <si>
    <t>U.L.I.Dewmini Rajapaksha</t>
  </si>
  <si>
    <t>I.H.M.Randana Isurangi</t>
  </si>
  <si>
    <t>P.G.Nikini Adithya</t>
  </si>
  <si>
    <t>A.M.C.Nethmini Premasiri</t>
  </si>
  <si>
    <t>K.M.S.Dilhani</t>
  </si>
  <si>
    <t>H.Y.Gimanthi Umesha</t>
  </si>
  <si>
    <t>K.D.Dishmi Dewsarani</t>
  </si>
  <si>
    <t>49-36</t>
  </si>
  <si>
    <t>35-0</t>
  </si>
  <si>
    <t>GRADE - 10 B</t>
  </si>
  <si>
    <t>H.A.B.M.Jayasekara</t>
  </si>
  <si>
    <t>10-B</t>
  </si>
  <si>
    <t>N.R.Thimira Dilum</t>
  </si>
  <si>
    <t>Y.H.L.Gimhan Bodhinayake</t>
  </si>
  <si>
    <t>M.G.C.L.Rathnayake</t>
  </si>
  <si>
    <t>A.D.T.Vidusanka Abeysingha</t>
  </si>
  <si>
    <t>L.A.C.Thathsara Deshapriya</t>
  </si>
  <si>
    <t>E.K.Pahan Malinsa</t>
  </si>
  <si>
    <t>U.P.M.Kumarathunga</t>
  </si>
  <si>
    <t>U.K.L.Randiya</t>
  </si>
  <si>
    <t>S.A.D.Lakshan Gunarathna</t>
  </si>
  <si>
    <t>M.K.P.Rathnayake</t>
  </si>
  <si>
    <t>U.P.Pahan Rathnakumara</t>
  </si>
  <si>
    <t>U.I.Aveesha Karunarathna</t>
  </si>
  <si>
    <t>P.A.O.M.Heshan Paladeniya</t>
  </si>
  <si>
    <t>W.M.K.Sandupama Welagedara</t>
  </si>
  <si>
    <t>S.H.L.Ahinsa Premalal</t>
  </si>
  <si>
    <t>U.C.Methsara Shantha</t>
  </si>
  <si>
    <t>K.V.N.Nisali Nuwanthika</t>
  </si>
  <si>
    <t>U.T.Dinsari Ashokalal</t>
  </si>
  <si>
    <t>A.T.K.Udayasiri</t>
  </si>
  <si>
    <t>C.H.Janada Perera</t>
  </si>
  <si>
    <t>K.S.Sandamini Sumanapala</t>
  </si>
  <si>
    <t>K.D.D.Nethsarani Jayarathna</t>
  </si>
  <si>
    <t>B.A.Dahami Theekshani</t>
  </si>
  <si>
    <t>GRADE - 10C</t>
  </si>
  <si>
    <t>U.A.Senal vijesuuriya</t>
  </si>
  <si>
    <t>10-C</t>
  </si>
  <si>
    <t>U.W.Shenal Karunasena</t>
  </si>
  <si>
    <t>N.G.V.Sanketh Namalgamuwa</t>
  </si>
  <si>
    <t>P.P.M.Udana Anuhas</t>
  </si>
  <si>
    <t>D.G.D.Nimsara Ekanayaka</t>
  </si>
  <si>
    <t>Y.L.S.Damsara Kumara</t>
  </si>
  <si>
    <t>H.M.A.Gimhan Miithreepala</t>
  </si>
  <si>
    <t>U.R.Lakshan Ariyasena</t>
  </si>
  <si>
    <t>E.G.N.Lakshan Premakumara</t>
  </si>
  <si>
    <t>P.W.S.Damhiru Rathnasekara</t>
  </si>
  <si>
    <t>N.G.P.N.Mahesh Kumara</t>
  </si>
  <si>
    <t>M.A.L.Supunsara Weerasiri</t>
  </si>
  <si>
    <t>S.D.Prageeth Kumara</t>
  </si>
  <si>
    <t>G.H.A.Chanuth Nethsara</t>
  </si>
  <si>
    <t>D.M.A.Priyamal Kumara</t>
  </si>
  <si>
    <t>M.O.Sadew Malwana</t>
  </si>
  <si>
    <t>L.K.E.W.W.Pulsara Kumara</t>
  </si>
  <si>
    <t>G.H.S.Sathsara Ranasingha</t>
  </si>
  <si>
    <t>D.M.Bimsara Udeshika</t>
  </si>
  <si>
    <t>L.K.A.Nethmni Karunathilaka</t>
  </si>
  <si>
    <t>P.M.P.Sawbhagya Pushpakumari</t>
  </si>
  <si>
    <t>M.M.Senuri Pabasara</t>
  </si>
  <si>
    <t>K.D.T.Nethra Jayarathna</t>
  </si>
  <si>
    <t>I.H.Binari Maheshika</t>
  </si>
  <si>
    <t>K.N.Shehara Priyadarshani</t>
  </si>
  <si>
    <t>E.G.D.Shashikala Namasekara</t>
  </si>
  <si>
    <t>K.D.Hansula Udani</t>
  </si>
  <si>
    <t>Mark Range</t>
  </si>
  <si>
    <t xml:space="preserve"> Grade 11 - Second Term Test Marks Sheet(2026)</t>
  </si>
  <si>
    <t>GRADE - 11A</t>
  </si>
  <si>
    <t>S.R.Lakshan Rohana</t>
  </si>
  <si>
    <t>11-A</t>
  </si>
  <si>
    <t xml:space="preserve">NO STUDENTS </t>
  </si>
  <si>
    <t>W.M.Kavinga Nilnayana</t>
  </si>
  <si>
    <t>P.H.P.K.Ruwan Fonseka</t>
  </si>
  <si>
    <t>E.K.G.Kaveesha Amarawansha</t>
  </si>
  <si>
    <t>R.P.Janidu Sandaruwan</t>
  </si>
  <si>
    <t>K.K.C.Kaveesha Nethsara</t>
  </si>
  <si>
    <t>K.H.M.Lakshan Hewage</t>
  </si>
  <si>
    <t>A.P.T.Sathsara Premajeewa</t>
  </si>
  <si>
    <t>W.M.M.Dinesh Bandara</t>
  </si>
  <si>
    <t>A.A.D.Sanjana Piyathilaka</t>
  </si>
  <si>
    <t>K.Dananjaya Premathilaka</t>
  </si>
  <si>
    <t>A.M.Y.Subhartha Jayalath</t>
  </si>
  <si>
    <t>A.A.T.Theekashana Abeysinghe</t>
  </si>
  <si>
    <t>D.W.Nimsara Gayan</t>
  </si>
  <si>
    <t xml:space="preserve">D.G.Niroshan </t>
  </si>
  <si>
    <t>W.Pubudu Sasmitha</t>
  </si>
  <si>
    <t>M.K.Dishan Kavishka</t>
  </si>
  <si>
    <t>N.M.Theekshana Sumith</t>
  </si>
  <si>
    <t>M.A.M.S.Maththamagoda</t>
  </si>
  <si>
    <t>U.Isura Dulanjith</t>
  </si>
  <si>
    <t>G.Kavindi Gimsara</t>
  </si>
  <si>
    <t>E.K.N.Wasana Somarathna</t>
  </si>
  <si>
    <t>D.M.S.Kavishka Dunusinghe</t>
  </si>
  <si>
    <t>M.A.Sithumini Pushpakumari</t>
  </si>
  <si>
    <t>E.S.Darshani weerasinghe</t>
  </si>
  <si>
    <t>D.W.R.Navodya Rathnayake</t>
  </si>
  <si>
    <t>B.H.Himashi Vihanga</t>
  </si>
  <si>
    <t>G.N.Nuwangi Yasawardhana</t>
  </si>
  <si>
    <t>A.P.Rashmindi Premalal</t>
  </si>
  <si>
    <t>G.Kavindya Sapsarani</t>
  </si>
  <si>
    <t>A.A.C.Sathsarani Abeysinghe</t>
  </si>
  <si>
    <t>W.M.Sanduni Tharaka</t>
  </si>
  <si>
    <t>U.K.U.Linomi Methnadi</t>
  </si>
  <si>
    <t>R.A.Chalani Dewmini</t>
  </si>
  <si>
    <t xml:space="preserve"> Grade 11-B  Second Term Test Marks Sheet(2026)</t>
  </si>
  <si>
    <t>GRADE - 11-B</t>
  </si>
  <si>
    <t>P.P.I.Kumara Panagoda</t>
  </si>
  <si>
    <t>11-B</t>
  </si>
  <si>
    <t>L.K.M.Miyuranga chandrathilaka</t>
  </si>
  <si>
    <t>T.M.T.Thushara Kumara</t>
  </si>
  <si>
    <t>A.A.J.M.Abeysingha</t>
  </si>
  <si>
    <t>U.A.Thumsithum</t>
  </si>
  <si>
    <t>M.F.Dulaj Mihiranga</t>
  </si>
  <si>
    <t>W.M.C.Chanuka Bandara</t>
  </si>
  <si>
    <t>M.K.S.Nimsara Senadeera</t>
  </si>
  <si>
    <t>D.W.Y.N.Kularathna</t>
  </si>
  <si>
    <t>E.K.T.S.Amarawansha</t>
  </si>
  <si>
    <t>B.Gangana Methsara</t>
  </si>
  <si>
    <t>L.K.U.Pasindu Damsara</t>
  </si>
  <si>
    <t>K.K.Kusal Damsara</t>
  </si>
  <si>
    <t>K.G.Punsara Malith</t>
  </si>
  <si>
    <t>U.K.U.Pasindu Damsara</t>
  </si>
  <si>
    <t>M.S.R.Piyathissa</t>
  </si>
  <si>
    <t>E.M.S.Ariyawansha</t>
  </si>
  <si>
    <t>W.M.Lahiru Hasamal</t>
  </si>
  <si>
    <t>U.N.Nilupul</t>
  </si>
  <si>
    <t>W.L.A.D.N.Weerasooriya</t>
  </si>
  <si>
    <t>Y.M.Sehana Weerasinghe</t>
  </si>
  <si>
    <t>I.P.C.D.Rathnayake</t>
  </si>
  <si>
    <t>K.N.P.Sandaruwani</t>
  </si>
  <si>
    <t>U.Senuri Navodya</t>
  </si>
  <si>
    <t>G.D.Vidurangi Sasadari</t>
  </si>
  <si>
    <t>A.A.S.G.Abeysinghe</t>
  </si>
  <si>
    <t>N.P.G.Suhana</t>
  </si>
  <si>
    <t>W.Dulmi Dunesha</t>
  </si>
  <si>
    <t>I.M.M.Madara Sandaruwani</t>
  </si>
  <si>
    <t>P.M.A.Dewmini Jayalal</t>
  </si>
  <si>
    <t>R.T.Damsarani Kumari</t>
  </si>
  <si>
    <t>K.G.R.Chamalsha jayasinghe</t>
  </si>
  <si>
    <t>G.D.Sahanya Weerasinghe</t>
  </si>
  <si>
    <t>P.M.R.Indusarani Weerasinghe</t>
  </si>
  <si>
    <t>N.H.Nadishika</t>
  </si>
  <si>
    <t xml:space="preserve"> Grade 13 - First Term Test Marks Sheet(2026)</t>
  </si>
  <si>
    <t>GRADE - 12</t>
  </si>
  <si>
    <t>Political Science</t>
  </si>
  <si>
    <t>Agri Science</t>
  </si>
  <si>
    <t>ICT</t>
  </si>
  <si>
    <t xml:space="preserve"> Sinahala</t>
  </si>
  <si>
    <t>Media</t>
  </si>
  <si>
    <t>Econ</t>
  </si>
  <si>
    <t>BC</t>
  </si>
  <si>
    <t xml:space="preserve">English </t>
  </si>
  <si>
    <t>GIT</t>
  </si>
  <si>
    <t>N.W.Pahan Sithumina</t>
  </si>
  <si>
    <t>Pasindu Maduranga</t>
  </si>
  <si>
    <t>A.A.Shehan Nimsara</t>
  </si>
  <si>
    <t>P.M.Kavindu Lakshan</t>
  </si>
  <si>
    <t>-</t>
  </si>
  <si>
    <t>P.N.Gihan Kavishka</t>
  </si>
  <si>
    <t>K.G.Dulipa Lakshan</t>
  </si>
  <si>
    <t>N.G.Sithija Anuradha</t>
  </si>
  <si>
    <t>M.A.Suvindu Sulochana</t>
  </si>
  <si>
    <t>W.Kavisha Dilshan</t>
  </si>
  <si>
    <t>G.M.Binuri Hansamali</t>
  </si>
  <si>
    <t>Chathumini Gimhani</t>
  </si>
  <si>
    <t>G.Kavindi Shashiwadana</t>
  </si>
  <si>
    <t>Shakya Madurangani</t>
  </si>
  <si>
    <t>D.M.Hiruni</t>
  </si>
  <si>
    <t>T.M.Maleesha Sewwandi</t>
  </si>
  <si>
    <t>Deshani Chathupraba</t>
  </si>
  <si>
    <t>Shalani Nisansala</t>
  </si>
  <si>
    <t>K.V.Shehara Rashmi</t>
  </si>
  <si>
    <t>GRADE - 13</t>
  </si>
  <si>
    <t>Y.K.N.Karunarathna</t>
  </si>
  <si>
    <t>N.G.Lasitha Nimsara</t>
  </si>
  <si>
    <t>M.H.V.S.Sethmina</t>
  </si>
  <si>
    <t>I.H.V.N.Kaushalya</t>
  </si>
  <si>
    <t>H.T.D.K.Nandasiri</t>
  </si>
  <si>
    <t>D.M.Y.C.B.Disanayaka</t>
  </si>
  <si>
    <t>P.I.Lakruwan Kumara</t>
  </si>
  <si>
    <t>S.I.Madushan Gunarathna</t>
  </si>
  <si>
    <t>A.D.R.Thakshila Kumari</t>
  </si>
  <si>
    <t>H.G.R.Sathsarani Ariyadasa</t>
  </si>
  <si>
    <t>W.G.Bimasha Sathsarani</t>
  </si>
  <si>
    <t>V.T.N.Bandara</t>
  </si>
  <si>
    <t>D.G.K.Thathsarani Nawarathna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</si>
</sst>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6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u/>
      <sz val="20"/>
      <color theme="1"/>
      <name val="Iskoola Pota"/>
      <charset val="134"/>
    </font>
    <font>
      <b/>
      <u/>
      <sz val="20"/>
      <color theme="1"/>
      <name val="Calibri"/>
      <charset val="134"/>
      <scheme val="minor"/>
    </font>
    <font>
      <sz val="16"/>
      <color theme="1"/>
      <name val="Iskoola Pota"/>
      <charset val="134"/>
    </font>
    <font>
      <sz val="12"/>
      <color theme="1"/>
      <name val="Iskoola Pota"/>
      <charset val="134"/>
    </font>
    <font>
      <sz val="14"/>
      <color theme="1"/>
      <name val="Iskoola Pota"/>
      <charset val="134"/>
    </font>
    <font>
      <b/>
      <sz val="12"/>
      <name val="Iskoola Pota"/>
      <charset val="134"/>
    </font>
    <font>
      <b/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2"/>
      <color rgb="FFFF0000"/>
      <name val="Times New Roman"/>
      <charset val="134"/>
    </font>
    <font>
      <b/>
      <sz val="12"/>
      <name val="Times New Roman"/>
      <charset val="134"/>
    </font>
    <font>
      <b/>
      <sz val="14"/>
      <color theme="1"/>
      <name val="Calibri"/>
      <charset val="134"/>
      <scheme val="minor"/>
    </font>
    <font>
      <b/>
      <sz val="12"/>
      <color theme="1"/>
      <name val="Iskoola Pota"/>
      <charset val="134"/>
    </font>
    <font>
      <sz val="11"/>
      <color theme="1"/>
      <name val="Iskoola Pota"/>
      <charset val="134"/>
    </font>
    <font>
      <sz val="10"/>
      <color theme="1"/>
      <name val="Iskoola Pota"/>
      <charset val="134"/>
    </font>
    <font>
      <b/>
      <sz val="9"/>
      <color theme="1"/>
      <name val="Times New Roman"/>
      <charset val="134"/>
    </font>
    <font>
      <sz val="9"/>
      <color theme="1"/>
      <name val="Iskoola Pota"/>
      <charset val="134"/>
    </font>
    <font>
      <b/>
      <sz val="10"/>
      <color theme="1"/>
      <name val="Iskoola Pota"/>
      <charset val="134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Times New Roman"/>
      <charset val="134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Times New Roman"/>
      <charset val="134"/>
    </font>
    <font>
      <u/>
      <sz val="11"/>
      <color rgb="FFFF0000"/>
      <name val="Times New Roman"/>
      <charset val="134"/>
    </font>
    <font>
      <b/>
      <u/>
      <sz val="11"/>
      <color rgb="FFFF0000"/>
      <name val="Times New Roman"/>
      <charset val="134"/>
    </font>
    <font>
      <b/>
      <sz val="11"/>
      <color rgb="FFFF0000"/>
      <name val="Iskoola Pota"/>
      <charset val="134"/>
    </font>
    <font>
      <b/>
      <u/>
      <sz val="12"/>
      <color rgb="FFFF0000"/>
      <name val="Times New Roman"/>
      <charset val="134"/>
    </font>
    <font>
      <u/>
      <sz val="14"/>
      <color rgb="FFFF0000"/>
      <name val="Iskoola Pota"/>
      <charset val="134"/>
    </font>
    <font>
      <b/>
      <u/>
      <sz val="10"/>
      <color rgb="FFFF0000"/>
      <name val="Times New Roman"/>
      <charset val="134"/>
    </font>
    <font>
      <u/>
      <sz val="11"/>
      <color rgb="FFFF0000"/>
      <name val="Calibri"/>
      <charset val="134"/>
      <scheme val="minor"/>
    </font>
    <font>
      <b/>
      <u/>
      <sz val="14"/>
      <color rgb="FFFF0000"/>
      <name val="Iskoola Pota"/>
      <charset val="134"/>
    </font>
    <font>
      <b/>
      <u/>
      <sz val="11"/>
      <color rgb="FFFF0000"/>
      <name val="Calibri"/>
      <charset val="134"/>
      <scheme val="minor"/>
    </font>
    <font>
      <sz val="12"/>
      <color rgb="FFFF0000"/>
      <name val="Iskoola Pota"/>
      <charset val="134"/>
    </font>
    <font>
      <b/>
      <u/>
      <sz val="9"/>
      <color rgb="FFFF0000"/>
      <name val="Times New Roman"/>
      <charset val="134"/>
    </font>
    <font>
      <b/>
      <u/>
      <sz val="16"/>
      <color theme="1"/>
      <name val="Iskoola Pota"/>
      <charset val="134"/>
    </font>
    <font>
      <b/>
      <u/>
      <sz val="16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 tint="0.0499893185216834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4" fillId="0" borderId="0" applyFont="0" applyFill="0" applyBorder="0" applyAlignment="0" applyProtection="0">
      <alignment vertical="center"/>
    </xf>
    <xf numFmtId="44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19" borderId="20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2" fillId="0" borderId="22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0" borderId="23" applyNumberFormat="0" applyAlignment="0" applyProtection="0">
      <alignment vertical="center"/>
    </xf>
    <xf numFmtId="0" fontId="54" fillId="21" borderId="24" applyNumberFormat="0" applyAlignment="0" applyProtection="0">
      <alignment vertical="center"/>
    </xf>
    <xf numFmtId="0" fontId="55" fillId="21" borderId="23" applyNumberFormat="0" applyAlignment="0" applyProtection="0">
      <alignment vertical="center"/>
    </xf>
    <xf numFmtId="0" fontId="56" fillId="22" borderId="25" applyNumberFormat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2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6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2" fillId="49" borderId="0" applyNumberFormat="0" applyBorder="0" applyAlignment="0" applyProtection="0">
      <alignment vertical="center"/>
    </xf>
  </cellStyleXfs>
  <cellXfs count="4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textRotation="90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vertical="center" textRotation="90" wrapText="1"/>
    </xf>
    <xf numFmtId="0" fontId="6" fillId="0" borderId="5" xfId="0" applyFont="1" applyBorder="1" applyAlignment="1">
      <alignment vertical="center" textRotation="90" wrapText="1"/>
    </xf>
    <xf numFmtId="0" fontId="6" fillId="5" borderId="1" xfId="0" applyFont="1" applyFill="1" applyBorder="1" applyAlignment="1">
      <alignment vertical="center" textRotation="90" wrapText="1"/>
    </xf>
    <xf numFmtId="0" fontId="6" fillId="6" borderId="1" xfId="0" applyFont="1" applyFill="1" applyBorder="1" applyAlignment="1">
      <alignment vertical="center" textRotation="90" wrapText="1"/>
    </xf>
    <xf numFmtId="0" fontId="6" fillId="3" borderId="1" xfId="0" applyFont="1" applyFill="1" applyBorder="1" applyAlignment="1">
      <alignment horizontal="center" vertical="center" textRotation="90" wrapText="1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textRotation="90" wrapText="1"/>
    </xf>
    <xf numFmtId="0" fontId="10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wrapText="1"/>
    </xf>
    <xf numFmtId="0" fontId="10" fillId="8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2" fontId="10" fillId="3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6" xfId="0" applyFont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1" xfId="0" applyFont="1" applyBorder="1"/>
    <xf numFmtId="0" fontId="10" fillId="0" borderId="5" xfId="0" applyFont="1" applyBorder="1"/>
    <xf numFmtId="0" fontId="10" fillId="0" borderId="0" xfId="0" applyFont="1"/>
    <xf numFmtId="0" fontId="15" fillId="0" borderId="0" xfId="0" applyFont="1"/>
    <xf numFmtId="0" fontId="0" fillId="7" borderId="0" xfId="0" applyFill="1" applyAlignment="1">
      <alignment horizontal="center"/>
    </xf>
    <xf numFmtId="0" fontId="10" fillId="7" borderId="6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0" xfId="0" applyFont="1" applyFill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10" fillId="0" borderId="9" xfId="0" applyFont="1" applyBorder="1"/>
    <xf numFmtId="0" fontId="10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7" fillId="0" borderId="10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1" fillId="0" borderId="10" xfId="0" applyFont="1" applyBorder="1"/>
    <xf numFmtId="0" fontId="7" fillId="0" borderId="1" xfId="0" applyFont="1" applyBorder="1"/>
    <xf numFmtId="0" fontId="7" fillId="0" borderId="6" xfId="0" applyFont="1" applyBorder="1"/>
    <xf numFmtId="0" fontId="0" fillId="0" borderId="5" xfId="0" applyBorder="1"/>
    <xf numFmtId="0" fontId="1" fillId="0" borderId="1" xfId="0" applyFont="1" applyBorder="1"/>
    <xf numFmtId="0" fontId="10" fillId="10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textRotation="90" wrapText="1"/>
    </xf>
    <xf numFmtId="0" fontId="6" fillId="11" borderId="1" xfId="0" applyFont="1" applyFill="1" applyBorder="1" applyAlignment="1">
      <alignment vertical="center" textRotation="90" wrapText="1"/>
    </xf>
    <xf numFmtId="0" fontId="7" fillId="0" borderId="1" xfId="0" applyFont="1" applyBorder="1" applyAlignment="1">
      <alignment vertical="center"/>
    </xf>
    <xf numFmtId="0" fontId="12" fillId="8" borderId="6" xfId="0" applyFont="1" applyFill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/>
      <protection locked="0"/>
    </xf>
    <xf numFmtId="0" fontId="6" fillId="5" borderId="2" xfId="0" applyFont="1" applyFill="1" applyBorder="1" applyAlignment="1">
      <alignment horizontal="center" vertical="center" textRotation="90" wrapText="1"/>
    </xf>
    <xf numFmtId="0" fontId="6" fillId="5" borderId="13" xfId="0" applyFont="1" applyFill="1" applyBorder="1" applyAlignment="1">
      <alignment horizontal="center" vertical="center" textRotation="90" wrapText="1"/>
    </xf>
    <xf numFmtId="0" fontId="10" fillId="11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2" fontId="10" fillId="3" borderId="1" xfId="0" applyNumberFormat="1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 vertical="center" textRotation="90" wrapText="1"/>
    </xf>
    <xf numFmtId="0" fontId="6" fillId="5" borderId="15" xfId="0" applyFont="1" applyFill="1" applyBorder="1" applyAlignment="1">
      <alignment horizontal="center" vertical="center" textRotation="90" wrapText="1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 textRotation="90" wrapText="1"/>
    </xf>
    <xf numFmtId="0" fontId="6" fillId="5" borderId="11" xfId="0" applyFont="1" applyFill="1" applyBorder="1" applyAlignment="1">
      <alignment horizontal="center" vertical="center" textRotation="90" wrapText="1"/>
    </xf>
    <xf numFmtId="0" fontId="0" fillId="0" borderId="0" xfId="0" applyFont="1"/>
    <xf numFmtId="0" fontId="10" fillId="0" borderId="16" xfId="0" applyFont="1" applyBorder="1"/>
    <xf numFmtId="0" fontId="11" fillId="0" borderId="0" xfId="0" applyFont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vertical="center" textRotation="90" wrapText="1"/>
    </xf>
    <xf numFmtId="0" fontId="18" fillId="11" borderId="1" xfId="0" applyFont="1" applyFill="1" applyBorder="1" applyAlignment="1">
      <alignment vertical="center" textRotation="90" wrapText="1"/>
    </xf>
    <xf numFmtId="0" fontId="10" fillId="7" borderId="10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left" vertical="center" wrapText="1"/>
    </xf>
    <xf numFmtId="0" fontId="9" fillId="0" borderId="10" xfId="0" applyFont="1" applyBorder="1" applyAlignment="1">
      <alignment vertical="center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9" fillId="8" borderId="6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 textRotation="90" wrapText="1"/>
    </xf>
    <xf numFmtId="0" fontId="9" fillId="5" borderId="13" xfId="0" applyFont="1" applyFill="1" applyBorder="1" applyAlignment="1">
      <alignment horizontal="center" vertical="center" textRotation="90" wrapText="1"/>
    </xf>
    <xf numFmtId="0" fontId="9" fillId="6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2" fontId="9" fillId="3" borderId="1" xfId="0" applyNumberFormat="1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9" fillId="5" borderId="14" xfId="0" applyFont="1" applyFill="1" applyBorder="1" applyAlignment="1">
      <alignment horizontal="center" vertical="center" textRotation="90" wrapText="1"/>
    </xf>
    <xf numFmtId="0" fontId="9" fillId="5" borderId="15" xfId="0" applyFont="1" applyFill="1" applyBorder="1" applyAlignment="1">
      <alignment horizontal="center" vertical="center" textRotation="90" wrapText="1"/>
    </xf>
    <xf numFmtId="0" fontId="9" fillId="5" borderId="4" xfId="0" applyFont="1" applyFill="1" applyBorder="1" applyAlignment="1">
      <alignment horizontal="center" vertical="center" textRotation="90" wrapText="1"/>
    </xf>
    <xf numFmtId="0" fontId="9" fillId="5" borderId="11" xfId="0" applyFont="1" applyFill="1" applyBorder="1" applyAlignment="1">
      <alignment horizontal="center" vertical="center" textRotation="90" wrapText="1"/>
    </xf>
    <xf numFmtId="0" fontId="19" fillId="0" borderId="6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vertical="center"/>
    </xf>
    <xf numFmtId="0" fontId="19" fillId="0" borderId="1" xfId="0" applyFont="1" applyBorder="1"/>
    <xf numFmtId="0" fontId="19" fillId="0" borderId="5" xfId="0" applyFont="1" applyBorder="1"/>
    <xf numFmtId="0" fontId="19" fillId="7" borderId="6" xfId="0" applyFont="1" applyFill="1" applyBorder="1" applyAlignment="1">
      <alignment vertical="center"/>
    </xf>
    <xf numFmtId="0" fontId="19" fillId="7" borderId="5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7" xfId="0" applyFont="1" applyBorder="1" applyAlignment="1">
      <alignment vertical="center"/>
    </xf>
    <xf numFmtId="0" fontId="19" fillId="0" borderId="16" xfId="0" applyFont="1" applyBorder="1"/>
    <xf numFmtId="0" fontId="19" fillId="0" borderId="9" xfId="0" applyFont="1" applyBorder="1"/>
    <xf numFmtId="0" fontId="19" fillId="0" borderId="9" xfId="0" applyFont="1" applyBorder="1" applyAlignment="1">
      <alignment horizontal="center" vertical="center"/>
    </xf>
    <xf numFmtId="0" fontId="10" fillId="7" borderId="9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0" fillId="0" borderId="17" xfId="0" applyFont="1" applyBorder="1" applyAlignment="1">
      <alignment horizontal="center" vertical="center" textRotation="90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 textRotation="90" wrapText="1"/>
    </xf>
    <xf numFmtId="0" fontId="20" fillId="0" borderId="1" xfId="0" applyFont="1" applyBorder="1" applyAlignment="1">
      <alignment vertical="center" textRotation="90" wrapText="1"/>
    </xf>
    <xf numFmtId="0" fontId="20" fillId="0" borderId="5" xfId="0" applyFont="1" applyBorder="1" applyAlignment="1">
      <alignment vertical="center" textRotation="90" wrapText="1"/>
    </xf>
    <xf numFmtId="0" fontId="20" fillId="0" borderId="1" xfId="0" applyFont="1" applyBorder="1" applyAlignment="1">
      <alignment vertical="center" textRotation="90"/>
    </xf>
    <xf numFmtId="0" fontId="20" fillId="5" borderId="1" xfId="0" applyFont="1" applyFill="1" applyBorder="1" applyAlignment="1">
      <alignment vertical="center" textRotation="90"/>
    </xf>
    <xf numFmtId="0" fontId="20" fillId="5" borderId="1" xfId="0" applyFont="1" applyFill="1" applyBorder="1" applyAlignment="1">
      <alignment vertical="center" textRotation="90" wrapText="1"/>
    </xf>
    <xf numFmtId="0" fontId="20" fillId="6" borderId="1" xfId="0" applyFont="1" applyFill="1" applyBorder="1" applyAlignment="1">
      <alignment vertical="center" textRotation="90" wrapText="1"/>
    </xf>
    <xf numFmtId="0" fontId="22" fillId="6" borderId="1" xfId="0" applyFont="1" applyFill="1" applyBorder="1" applyAlignment="1">
      <alignment vertical="center" textRotation="90" wrapText="1"/>
    </xf>
    <xf numFmtId="0" fontId="20" fillId="11" borderId="1" xfId="0" applyFont="1" applyFill="1" applyBorder="1" applyAlignment="1">
      <alignment vertical="center" textRotation="90"/>
    </xf>
    <xf numFmtId="0" fontId="20" fillId="11" borderId="1" xfId="0" applyFont="1" applyFill="1" applyBorder="1" applyAlignment="1">
      <alignment vertical="center" textRotation="90" wrapText="1"/>
    </xf>
    <xf numFmtId="0" fontId="18" fillId="11" borderId="1" xfId="0" applyFont="1" applyFill="1" applyBorder="1" applyAlignment="1">
      <alignment vertical="center" textRotation="90"/>
    </xf>
    <xf numFmtId="0" fontId="18" fillId="3" borderId="1" xfId="0" applyFont="1" applyFill="1" applyBorder="1" applyAlignment="1">
      <alignment horizontal="center" vertical="center" textRotation="90" wrapText="1"/>
    </xf>
    <xf numFmtId="0" fontId="19" fillId="7" borderId="10" xfId="0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left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left" vertical="center" wrapText="1"/>
    </xf>
    <xf numFmtId="0" fontId="19" fillId="0" borderId="10" xfId="0" applyFont="1" applyBorder="1" applyAlignment="1">
      <alignment vertical="center"/>
    </xf>
    <xf numFmtId="0" fontId="0" fillId="0" borderId="1" xfId="0" applyFont="1" applyBorder="1"/>
    <xf numFmtId="0" fontId="19" fillId="8" borderId="6" xfId="0" applyFont="1" applyFill="1" applyBorder="1" applyAlignment="1">
      <alignment horizontal="center" vertical="center" wrapText="1"/>
    </xf>
    <xf numFmtId="0" fontId="23" fillId="0" borderId="1" xfId="0" applyFont="1" applyBorder="1"/>
    <xf numFmtId="0" fontId="19" fillId="8" borderId="5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9" fillId="8" borderId="1" xfId="0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/>
    </xf>
    <xf numFmtId="0" fontId="23" fillId="11" borderId="1" xfId="0" applyFont="1" applyFill="1" applyBorder="1"/>
    <xf numFmtId="0" fontId="19" fillId="11" borderId="1" xfId="0" applyFont="1" applyFill="1" applyBorder="1" applyAlignment="1">
      <alignment horizontal="center"/>
    </xf>
    <xf numFmtId="0" fontId="19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/>
    </xf>
    <xf numFmtId="0" fontId="22" fillId="7" borderId="6" xfId="0" applyFont="1" applyFill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/>
    </xf>
    <xf numFmtId="2" fontId="12" fillId="14" borderId="1" xfId="0" applyNumberFormat="1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12" fillId="0" borderId="1" xfId="0" applyFont="1" applyBorder="1"/>
    <xf numFmtId="0" fontId="12" fillId="0" borderId="5" xfId="0" applyFont="1" applyBorder="1"/>
    <xf numFmtId="0" fontId="12" fillId="0" borderId="0" xfId="0" applyFont="1"/>
    <xf numFmtId="0" fontId="25" fillId="0" borderId="0" xfId="0" applyFont="1"/>
    <xf numFmtId="0" fontId="26" fillId="0" borderId="0" xfId="0" applyFont="1"/>
    <xf numFmtId="0" fontId="25" fillId="7" borderId="0" xfId="0" applyFont="1" applyFill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7" borderId="6" xfId="0" applyFont="1" applyFill="1" applyBorder="1" applyAlignment="1">
      <alignment vertical="center"/>
    </xf>
    <xf numFmtId="0" fontId="12" fillId="7" borderId="5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7" borderId="0" xfId="0" applyFont="1" applyFill="1" applyAlignment="1">
      <alignment horizontal="center"/>
    </xf>
    <xf numFmtId="0" fontId="12" fillId="0" borderId="6" xfId="0" applyFont="1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0" fontId="12" fillId="0" borderId="16" xfId="0" applyFont="1" applyBorder="1"/>
    <xf numFmtId="0" fontId="12" fillId="0" borderId="9" xfId="0" applyFont="1" applyBorder="1"/>
    <xf numFmtId="0" fontId="12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25" fillId="0" borderId="10" xfId="0" applyFont="1" applyBorder="1"/>
    <xf numFmtId="0" fontId="25" fillId="0" borderId="11" xfId="0" applyFont="1" applyBorder="1"/>
    <xf numFmtId="0" fontId="6" fillId="0" borderId="1" xfId="0" applyFont="1" applyBorder="1" applyAlignment="1">
      <alignment horizontal="center" vertical="center" textRotation="90" wrapText="1"/>
    </xf>
    <xf numFmtId="0" fontId="17" fillId="15" borderId="1" xfId="0" applyFont="1" applyFill="1" applyBorder="1" applyAlignment="1">
      <alignment vertical="center"/>
    </xf>
    <xf numFmtId="0" fontId="12" fillId="8" borderId="6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0" fontId="12" fillId="8" borderId="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26" fillId="0" borderId="1" xfId="0" applyFont="1" applyBorder="1"/>
    <xf numFmtId="0" fontId="12" fillId="8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/>
    </xf>
    <xf numFmtId="0" fontId="26" fillId="11" borderId="1" xfId="0" applyFont="1" applyFill="1" applyBorder="1"/>
    <xf numFmtId="0" fontId="12" fillId="11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/>
    </xf>
    <xf numFmtId="0" fontId="25" fillId="7" borderId="6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8" xfId="0" applyFont="1" applyBorder="1"/>
    <xf numFmtId="0" fontId="12" fillId="0" borderId="16" xfId="0" applyFont="1" applyBorder="1" applyAlignment="1">
      <alignment horizontal="center"/>
    </xf>
    <xf numFmtId="0" fontId="12" fillId="7" borderId="9" xfId="0" applyFont="1" applyFill="1" applyBorder="1" applyAlignment="1">
      <alignment horizontal="center"/>
    </xf>
    <xf numFmtId="0" fontId="0" fillId="0" borderId="6" xfId="0" applyBorder="1"/>
    <xf numFmtId="0" fontId="17" fillId="11" borderId="1" xfId="0" applyFont="1" applyFill="1" applyBorder="1" applyAlignment="1">
      <alignment vertical="center" textRotation="90" wrapText="1"/>
    </xf>
    <xf numFmtId="0" fontId="26" fillId="11" borderId="1" xfId="0" applyFont="1" applyFill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9" fillId="7" borderId="6" xfId="0" applyFont="1" applyFill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7" fillId="0" borderId="10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7" borderId="0" xfId="0" applyFill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0" fillId="2" borderId="1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 vertical="center" wrapText="1"/>
    </xf>
    <xf numFmtId="0" fontId="32" fillId="3" borderId="1" xfId="0" applyFont="1" applyFill="1" applyBorder="1" applyAlignment="1">
      <alignment vertical="center"/>
    </xf>
    <xf numFmtId="0" fontId="33" fillId="8" borderId="6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0" fontId="31" fillId="3" borderId="1" xfId="0" applyFont="1" applyFill="1" applyBorder="1" applyAlignment="1">
      <alignment horizontal="center"/>
    </xf>
    <xf numFmtId="2" fontId="31" fillId="3" borderId="1" xfId="0" applyNumberFormat="1" applyFont="1" applyFill="1" applyBorder="1" applyAlignment="1">
      <alignment horizontal="center"/>
    </xf>
    <xf numFmtId="0" fontId="34" fillId="7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13" fillId="11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vertical="center"/>
    </xf>
    <xf numFmtId="0" fontId="31" fillId="16" borderId="1" xfId="0" applyFont="1" applyFill="1" applyBorder="1" applyAlignment="1">
      <alignment horizontal="center"/>
    </xf>
    <xf numFmtId="0" fontId="36" fillId="7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/>
    </xf>
    <xf numFmtId="0" fontId="7" fillId="0" borderId="0" xfId="0" applyFont="1"/>
    <xf numFmtId="0" fontId="6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textRotation="90" wrapText="1"/>
    </xf>
    <xf numFmtId="0" fontId="8" fillId="0" borderId="6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textRotation="90" wrapText="1"/>
    </xf>
    <xf numFmtId="0" fontId="7" fillId="15" borderId="1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8" fillId="17" borderId="6" xfId="0" applyFont="1" applyFill="1" applyBorder="1" applyAlignment="1">
      <alignment horizontal="center" vertical="center" wrapText="1"/>
    </xf>
    <xf numFmtId="0" fontId="8" fillId="17" borderId="12" xfId="0" applyFont="1" applyFill="1" applyBorder="1" applyAlignment="1">
      <alignment horizontal="center" vertical="center" wrapText="1"/>
    </xf>
    <xf numFmtId="0" fontId="8" fillId="17" borderId="5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textRotation="90" wrapText="1"/>
    </xf>
    <xf numFmtId="0" fontId="7" fillId="18" borderId="1" xfId="0" applyFont="1" applyFill="1" applyBorder="1" applyAlignment="1">
      <alignment vertical="center"/>
    </xf>
    <xf numFmtId="0" fontId="14" fillId="10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9" fillId="0" borderId="9" xfId="0" applyFont="1" applyBorder="1" applyAlignment="1">
      <alignment vertical="center"/>
    </xf>
    <xf numFmtId="0" fontId="19" fillId="0" borderId="19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34" fillId="0" borderId="0" xfId="0" applyFont="1"/>
    <xf numFmtId="0" fontId="22" fillId="0" borderId="0" xfId="0" applyFont="1"/>
    <xf numFmtId="0" fontId="20" fillId="0" borderId="2" xfId="0" applyFont="1" applyBorder="1" applyAlignment="1">
      <alignment horizontal="center" vertical="center" textRotation="90" wrapText="1"/>
    </xf>
    <xf numFmtId="0" fontId="8" fillId="3" borderId="1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textRotation="90" wrapText="1"/>
    </xf>
    <xf numFmtId="0" fontId="37" fillId="0" borderId="1" xfId="0" applyFont="1" applyBorder="1" applyAlignment="1">
      <alignment vertical="center" textRotation="90" wrapText="1"/>
    </xf>
    <xf numFmtId="0" fontId="29" fillId="0" borderId="1" xfId="0" applyFont="1" applyBorder="1" applyAlignment="1">
      <alignment horizontal="center"/>
    </xf>
    <xf numFmtId="0" fontId="32" fillId="15" borderId="1" xfId="0" applyFont="1" applyFill="1" applyBorder="1" applyAlignment="1">
      <alignment vertical="center"/>
    </xf>
    <xf numFmtId="0" fontId="38" fillId="8" borderId="6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9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/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textRotation="90" wrapText="1"/>
    </xf>
    <xf numFmtId="0" fontId="16" fillId="0" borderId="1" xfId="0" applyFont="1" applyBorder="1" applyAlignment="1">
      <alignment vertical="center" textRotation="90" wrapText="1"/>
    </xf>
    <xf numFmtId="0" fontId="16" fillId="5" borderId="1" xfId="0" applyFont="1" applyFill="1" applyBorder="1" applyAlignment="1">
      <alignment vertical="center" textRotation="90" wrapText="1"/>
    </xf>
    <xf numFmtId="0" fontId="16" fillId="6" borderId="1" xfId="0" applyFont="1" applyFill="1" applyBorder="1" applyAlignment="1">
      <alignment vertical="center" textRotation="90" wrapText="1"/>
    </xf>
    <xf numFmtId="0" fontId="42" fillId="6" borderId="1" xfId="0" applyFont="1" applyFill="1" applyBorder="1" applyAlignment="1">
      <alignment vertical="center" textRotation="90" wrapText="1"/>
    </xf>
    <xf numFmtId="0" fontId="16" fillId="11" borderId="1" xfId="0" applyFont="1" applyFill="1" applyBorder="1" applyAlignment="1">
      <alignment vertical="center" textRotation="90" wrapText="1"/>
    </xf>
    <xf numFmtId="0" fontId="16" fillId="3" borderId="1" xfId="0" applyFont="1" applyFill="1" applyBorder="1" applyAlignment="1">
      <alignment horizontal="center" vertical="center" textRotation="90" wrapText="1"/>
    </xf>
    <xf numFmtId="0" fontId="16" fillId="15" borderId="1" xfId="0" applyFont="1" applyFill="1" applyBorder="1" applyAlignment="1">
      <alignment vertical="center"/>
    </xf>
    <xf numFmtId="0" fontId="9" fillId="8" borderId="4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4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0" fontId="18" fillId="5" borderId="1" xfId="0" applyFont="1" applyFill="1" applyBorder="1" applyAlignment="1">
      <alignment vertical="center" textRotation="90" wrapText="1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9" fillId="7" borderId="1" xfId="0" applyFont="1" applyFill="1" applyBorder="1" applyAlignment="1">
      <alignment horizontal="center"/>
    </xf>
    <xf numFmtId="0" fontId="9" fillId="0" borderId="9" xfId="0" applyFont="1" applyBorder="1"/>
    <xf numFmtId="0" fontId="9" fillId="0" borderId="9" xfId="0" applyFont="1" applyBorder="1" applyAlignment="1">
      <alignment horizontal="center" vertical="center"/>
    </xf>
    <xf numFmtId="0" fontId="13" fillId="16" borderId="1" xfId="0" applyFont="1" applyFill="1" applyBorder="1" applyAlignment="1">
      <alignment horizontal="center"/>
    </xf>
    <xf numFmtId="0" fontId="43" fillId="11" borderId="1" xfId="0" applyFont="1" applyFill="1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4" borderId="14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33" fillId="8" borderId="6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/>
    <xf numFmtId="0" fontId="10" fillId="0" borderId="10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2"/>
  <sheetViews>
    <sheetView zoomScale="68" zoomScaleNormal="68" workbookViewId="0">
      <selection activeCell="AG22" sqref="AG22"/>
    </sheetView>
  </sheetViews>
  <sheetFormatPr defaultColWidth="9" defaultRowHeight="15.6"/>
  <cols>
    <col min="1" max="1" width="4.71296296296296" customWidth="1"/>
    <col min="2" max="2" width="37.1388888888889" customWidth="1"/>
    <col min="3" max="3" width="5.85185185185185" customWidth="1"/>
    <col min="4" max="4" width="3.57407407407407" customWidth="1"/>
    <col min="5" max="5" width="4.28703703703704" customWidth="1"/>
    <col min="6" max="6" width="3.71296296296296" customWidth="1"/>
    <col min="7" max="7" width="4.28703703703704" customWidth="1"/>
    <col min="8" max="8" width="3.71296296296296" customWidth="1"/>
    <col min="9" max="9" width="4.28703703703704" customWidth="1"/>
    <col min="10" max="10" width="3.42592592592593" customWidth="1"/>
    <col min="11" max="11" width="3.42592592592593" style="1" customWidth="1"/>
    <col min="12" max="12" width="4.42592592592593" customWidth="1"/>
    <col min="13" max="13" width="4.28703703703704" customWidth="1"/>
    <col min="14" max="14" width="3.42592592592593" customWidth="1"/>
    <col min="15" max="15" width="3.28703703703704" customWidth="1"/>
    <col min="16" max="16" width="5.28703703703704" customWidth="1"/>
    <col min="17" max="17" width="4.28703703703704" customWidth="1"/>
    <col min="18" max="18" width="3.71296296296296" customWidth="1"/>
    <col min="19" max="19" width="4.28703703703704" customWidth="1"/>
    <col min="20" max="20" width="5.28703703703704" customWidth="1"/>
    <col min="21" max="21" width="4.28703703703704" customWidth="1"/>
    <col min="22" max="22" width="3.28703703703704" customWidth="1"/>
    <col min="23" max="23" width="4.28703703703704" customWidth="1"/>
    <col min="24" max="24" width="3.28703703703704" customWidth="1"/>
    <col min="25" max="25" width="4.28703703703704" customWidth="1"/>
    <col min="26" max="26" width="3.85185185185185" customWidth="1"/>
    <col min="27" max="31" width="4.28703703703704" customWidth="1"/>
    <col min="32" max="32" width="6.85185185185185" customWidth="1"/>
    <col min="33" max="33" width="8.13888888888889" customWidth="1"/>
    <col min="34" max="34" width="5.42592592592593" customWidth="1"/>
    <col min="35" max="35" width="2.28703703703704" customWidth="1"/>
    <col min="36" max="36" width="2" customWidth="1"/>
    <col min="37" max="38" width="2.57407407407407" customWidth="1"/>
    <col min="39" max="39" width="3.28703703703704" customWidth="1"/>
    <col min="40" max="40" width="3.28703703703704" style="2" customWidth="1"/>
  </cols>
  <sheetData>
    <row r="1" ht="25.8" spans="1:4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ht="3.6" customHeight="1"/>
    <row r="3" ht="21" spans="1:40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ht="21" spans="1:40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ht="13.9" customHeight="1" spans="1:40">
      <c r="A5" s="6" t="s">
        <v>3</v>
      </c>
      <c r="B5" s="7" t="s">
        <v>4</v>
      </c>
      <c r="C5" s="8" t="s">
        <v>5</v>
      </c>
      <c r="D5" s="9" t="s">
        <v>6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290"/>
      <c r="AG5" s="291"/>
      <c r="AH5" s="292"/>
      <c r="AI5" s="401" t="s">
        <v>7</v>
      </c>
      <c r="AJ5" s="402"/>
      <c r="AK5" s="402"/>
      <c r="AL5" s="402"/>
      <c r="AM5" s="402"/>
      <c r="AN5" s="402"/>
    </row>
    <row r="6" ht="73.9" customHeight="1" spans="1:40">
      <c r="A6" s="6"/>
      <c r="B6" s="6"/>
      <c r="C6" s="13"/>
      <c r="D6" s="14" t="s">
        <v>8</v>
      </c>
      <c r="E6" s="14"/>
      <c r="F6" s="14" t="s">
        <v>9</v>
      </c>
      <c r="G6" s="14"/>
      <c r="H6" s="14" t="s">
        <v>10</v>
      </c>
      <c r="I6" s="14"/>
      <c r="J6" s="14" t="s">
        <v>11</v>
      </c>
      <c r="K6" s="14"/>
      <c r="L6" s="14" t="s">
        <v>12</v>
      </c>
      <c r="M6" s="14"/>
      <c r="N6" s="14" t="s">
        <v>13</v>
      </c>
      <c r="O6" s="14"/>
      <c r="P6" s="384" t="s">
        <v>14</v>
      </c>
      <c r="Q6" s="16"/>
      <c r="R6" s="16" t="s">
        <v>15</v>
      </c>
      <c r="S6" s="16"/>
      <c r="T6" s="16" t="s">
        <v>16</v>
      </c>
      <c r="U6" s="16"/>
      <c r="V6" s="17" t="s">
        <v>17</v>
      </c>
      <c r="W6" s="17"/>
      <c r="X6" s="17" t="s">
        <v>18</v>
      </c>
      <c r="Y6" s="17"/>
      <c r="Z6" s="17" t="s">
        <v>19</v>
      </c>
      <c r="AA6" s="92"/>
      <c r="AB6" s="117" t="s">
        <v>20</v>
      </c>
      <c r="AC6" s="93"/>
      <c r="AD6" s="93" t="s">
        <v>21</v>
      </c>
      <c r="AE6" s="93"/>
      <c r="AF6" s="18" t="s">
        <v>7</v>
      </c>
      <c r="AG6" s="18" t="s">
        <v>22</v>
      </c>
      <c r="AH6" s="18" t="s">
        <v>23</v>
      </c>
      <c r="AI6" s="19" t="s">
        <v>24</v>
      </c>
      <c r="AJ6" s="20" t="s">
        <v>25</v>
      </c>
      <c r="AK6" s="21" t="s">
        <v>26</v>
      </c>
      <c r="AL6" s="20" t="s">
        <v>27</v>
      </c>
      <c r="AM6" s="20" t="s">
        <v>28</v>
      </c>
      <c r="AN6" s="22" t="s">
        <v>29</v>
      </c>
    </row>
    <row r="7" ht="19.15" customHeight="1" spans="1:40">
      <c r="A7" s="39">
        <v>1</v>
      </c>
      <c r="B7" s="320" t="s">
        <v>30</v>
      </c>
      <c r="C7" s="236" t="s">
        <v>31</v>
      </c>
      <c r="D7" s="41">
        <v>51</v>
      </c>
      <c r="E7" s="29" t="str">
        <f>IF(D7&gt;=75,"A",IF(D7&gt;=65,"B",IF(D7&gt;=50,"C",IF(D7&gt;=40,"S","W"))))</f>
        <v>C</v>
      </c>
      <c r="F7" s="49">
        <v>27</v>
      </c>
      <c r="G7" s="49" t="str">
        <f>IF(F7&gt;=75,"A",IF(F7&gt;=65,"B",IF(F7&gt;=50,"C",IF(F7&gt;=40,"S","W"))))</f>
        <v>W</v>
      </c>
      <c r="H7" s="41">
        <v>49</v>
      </c>
      <c r="I7" s="41" t="str">
        <f>IF(H7&gt;=75,"A",IF(H7&gt;=65,"B",IF(H7&gt;=50,"C",IF(H7&gt;=40,"S","W"))))</f>
        <v>S</v>
      </c>
      <c r="J7" s="49">
        <v>49</v>
      </c>
      <c r="K7" s="41" t="str">
        <f>IF(J7&gt;=75,"A",IF(J7&gt;=65,"B",IF(J7&gt;=50,"C",IF(J7&gt;=40,"S","W"))))</f>
        <v>S</v>
      </c>
      <c r="L7" s="41">
        <v>56</v>
      </c>
      <c r="M7" s="41" t="str">
        <f>IF(L7&gt;=75,"A",IF(L7&gt;=65,"B",IF(L7&gt;=50,"C",IF(L7&gt;=40,"S","W"))))</f>
        <v>C</v>
      </c>
      <c r="N7" s="41">
        <v>33</v>
      </c>
      <c r="O7" s="293" t="str">
        <f>IF(N7&gt;=75,"A",IF(N7&gt;=65,"B",IF(N7&gt;=50,"C",IF(N7&gt;=40,"S","W"))))</f>
        <v>W</v>
      </c>
      <c r="P7" s="43">
        <v>72</v>
      </c>
      <c r="Q7" s="43" t="str">
        <f>IF(P7&gt;=75,"A",IF(P7&gt;=65,"B",IF(P7&gt;=50,"C",IF(P7&gt;=40,"S","W"))))</f>
        <v>B</v>
      </c>
      <c r="R7" s="43">
        <v>58</v>
      </c>
      <c r="S7" s="43" t="str">
        <f>IF(R7&gt;=75,"A",IF(R7&gt;=65,"B",IF(R7&gt;=50,"C",IF(R7&gt;=40,"S","W"))))</f>
        <v>C</v>
      </c>
      <c r="T7" s="43">
        <v>43</v>
      </c>
      <c r="U7" s="43" t="str">
        <f>IF(T7&gt;=75,"A",IF(T7&gt;=65,"B",IF(T7&gt;=50,"C",IF(T7&gt;=40,"S","W"))))</f>
        <v>S</v>
      </c>
      <c r="V7" s="44"/>
      <c r="W7" s="44"/>
      <c r="X7" s="44"/>
      <c r="Y7" s="44"/>
      <c r="Z7" s="44">
        <v>77</v>
      </c>
      <c r="AA7" s="44" t="str">
        <f>IF(Z7&gt;=75,"A",IF(Z7&gt;=65,"B",IF(Z7&gt;=50,"C",IF(Z7&gt;=40,"S","W"))))</f>
        <v>A</v>
      </c>
      <c r="AB7" s="99">
        <v>41</v>
      </c>
      <c r="AC7" s="99" t="str">
        <f>IF(AB7&gt;=75,"A",IF(AB7&gt;=65,"B",IF(AB7&gt;=50,"C",IF(AB7&gt;=40,"S","W"))))</f>
        <v>S</v>
      </c>
      <c r="AD7" s="99">
        <v>65</v>
      </c>
      <c r="AE7" s="99" t="str">
        <f>IF(AD7&gt;=75,"A",IF(AD7&gt;=65,"B",IF(AD7&gt;=50,"C",IF(AD7&gt;=40,"S","W"))))</f>
        <v>B</v>
      </c>
      <c r="AF7" s="100">
        <f>SUM(D7,F7,H7,J7,L7,N7,P7,R7,T7,V7,X7,Z7,AB7,AD7)</f>
        <v>621</v>
      </c>
      <c r="AG7" s="101">
        <f>AVERAGE(AF7/12)</f>
        <v>51.75</v>
      </c>
      <c r="AH7" s="100">
        <f>RANK(AF7,($AF$7:$AF$37),0)</f>
        <v>8</v>
      </c>
      <c r="AI7" s="36">
        <f>COUNTIF(D7:AE7,"A")</f>
        <v>1</v>
      </c>
      <c r="AJ7" s="36">
        <f t="shared" ref="AJ7:AJ37" si="0">COUNTIF(D7:AI7,"B")</f>
        <v>2</v>
      </c>
      <c r="AK7" s="36">
        <f t="shared" ref="AK7:AK37" si="1">COUNTIF(D7:AJ7,"C")</f>
        <v>3</v>
      </c>
      <c r="AL7" s="36">
        <f t="shared" ref="AL7:AL37" si="2">COUNTIF(E7:AK7,"S")</f>
        <v>4</v>
      </c>
      <c r="AM7" s="36">
        <f>COUNTIF(D7:AE7,"W")</f>
        <v>2</v>
      </c>
      <c r="AN7" s="37">
        <f>(COUNTIF(D7:AE7,"AB"))/2</f>
        <v>0</v>
      </c>
    </row>
    <row r="8" s="2" customFormat="1" ht="14.65" customHeight="1" spans="1:40">
      <c r="A8" s="24">
        <v>2</v>
      </c>
      <c r="B8" s="320" t="s">
        <v>32</v>
      </c>
      <c r="C8" s="236" t="s">
        <v>31</v>
      </c>
      <c r="D8" s="41">
        <v>15</v>
      </c>
      <c r="E8" s="29" t="str">
        <f t="shared" ref="E8:E37" si="3">IF(D8&gt;=75,"A",IF(D8&gt;=65,"B",IF(D8&gt;=50,"C",IF(D8&gt;=40,"S","W"))))</f>
        <v>W</v>
      </c>
      <c r="F8" s="41">
        <v>25</v>
      </c>
      <c r="G8" s="49" t="str">
        <f t="shared" ref="G8:G37" si="4">IF(F8&gt;=75,"A",IF(F8&gt;=65,"B",IF(F8&gt;=50,"C",IF(F8&gt;=40,"S","W"))))</f>
        <v>W</v>
      </c>
      <c r="H8" s="41">
        <v>18</v>
      </c>
      <c r="I8" s="41" t="str">
        <f t="shared" ref="I8:I37" si="5">IF(H8&gt;=75,"A",IF(H8&gt;=65,"B",IF(H8&gt;=50,"C",IF(H8&gt;=40,"S","W"))))</f>
        <v>W</v>
      </c>
      <c r="J8" s="49">
        <v>23</v>
      </c>
      <c r="K8" s="41" t="str">
        <f t="shared" ref="K8:K37" si="6">IF(J8&gt;=75,"A",IF(J8&gt;=65,"B",IF(J8&gt;=50,"C",IF(J8&gt;=40,"S","W"))))</f>
        <v>W</v>
      </c>
      <c r="L8" s="49">
        <v>30</v>
      </c>
      <c r="M8" s="41" t="str">
        <f t="shared" ref="M8:M37" si="7">IF(L8&gt;=75,"A",IF(L8&gt;=65,"B",IF(L8&gt;=50,"C",IF(L8&gt;=40,"S","W"))))</f>
        <v>W</v>
      </c>
      <c r="N8" s="41">
        <v>18</v>
      </c>
      <c r="O8" s="293" t="str">
        <f t="shared" ref="O8:O37" si="8">IF(N8&gt;=75,"A",IF(N8&gt;=65,"B",IF(N8&gt;=50,"C",IF(N8&gt;=40,"S","W"))))</f>
        <v>W</v>
      </c>
      <c r="P8" s="43">
        <v>18</v>
      </c>
      <c r="Q8" s="43" t="str">
        <f t="shared" ref="Q8:Q37" si="9">IF(P8&gt;=75,"A",IF(P8&gt;=65,"B",IF(P8&gt;=50,"C",IF(P8&gt;=40,"S","W"))))</f>
        <v>W</v>
      </c>
      <c r="R8" s="43">
        <v>19</v>
      </c>
      <c r="S8" s="43" t="str">
        <f t="shared" ref="S8:S37" si="10">IF(R8&gt;=75,"A",IF(R8&gt;=65,"B",IF(R8&gt;=50,"C",IF(R8&gt;=40,"S","W"))))</f>
        <v>W</v>
      </c>
      <c r="T8" s="43">
        <v>18</v>
      </c>
      <c r="U8" s="43" t="str">
        <f t="shared" ref="U8:U37" si="11">IF(T8&gt;=75,"A",IF(T8&gt;=65,"B",IF(T8&gt;=50,"C",IF(T8&gt;=40,"S","W"))))</f>
        <v>W</v>
      </c>
      <c r="V8" s="351">
        <v>23</v>
      </c>
      <c r="W8" s="44" t="str">
        <f t="shared" ref="W8:W14" si="12">IF(V8&gt;=75,"A",IF(V8&gt;=65,"B",IF(V8&gt;=50,"C",IF(V8&gt;=40,"S","W"))))</f>
        <v>W</v>
      </c>
      <c r="X8" s="44"/>
      <c r="Y8" s="44"/>
      <c r="Z8" s="44"/>
      <c r="AA8" s="44"/>
      <c r="AB8" s="99">
        <v>20</v>
      </c>
      <c r="AC8" s="99" t="str">
        <f t="shared" ref="AC8:AC37" si="13">IF(AB8&gt;=75,"A",IF(AB8&gt;=65,"B",IF(AB8&gt;=50,"C",IF(AB8&gt;=40,"S","W"))))</f>
        <v>W</v>
      </c>
      <c r="AD8" s="99">
        <v>30</v>
      </c>
      <c r="AE8" s="99" t="str">
        <f t="shared" ref="AE8:AE37" si="14">IF(AD8&gt;=75,"A",IF(AD8&gt;=65,"B",IF(AD8&gt;=50,"C",IF(AD8&gt;=40,"S","W"))))</f>
        <v>W</v>
      </c>
      <c r="AF8" s="100">
        <f t="shared" ref="AF8:AF37" si="15">SUM(D8,F8,H8,J8,L8,N8,P8,R8,T8,V8,X8,Z8,AB8,AD8)</f>
        <v>257</v>
      </c>
      <c r="AG8" s="101">
        <f>AVERAGE(AF8/12)</f>
        <v>21.4166666666667</v>
      </c>
      <c r="AH8" s="100">
        <f t="shared" ref="AH8:AH37" si="16">RANK(AF8,($AF$7:$AF$37),0)</f>
        <v>28</v>
      </c>
      <c r="AI8" s="36">
        <f t="shared" ref="AI8:AI37" si="17">COUNTIF(D8:AE8,"A")</f>
        <v>0</v>
      </c>
      <c r="AJ8" s="36">
        <f t="shared" si="0"/>
        <v>0</v>
      </c>
      <c r="AK8" s="36">
        <f t="shared" si="1"/>
        <v>0</v>
      </c>
      <c r="AL8" s="36">
        <f t="shared" si="2"/>
        <v>0</v>
      </c>
      <c r="AM8" s="36">
        <f t="shared" ref="AM8:AM37" si="18">COUNTIF(D8:AE8,"W")</f>
        <v>12</v>
      </c>
      <c r="AN8" s="37">
        <f t="shared" ref="AN8:AN37" si="19">(COUNTIF(D8:AE8,"AB"))/2</f>
        <v>0</v>
      </c>
    </row>
    <row r="9" s="2" customFormat="1" ht="14.65" customHeight="1" spans="1:40">
      <c r="A9" s="39">
        <v>3</v>
      </c>
      <c r="B9" s="320" t="s">
        <v>33</v>
      </c>
      <c r="C9" s="236" t="s">
        <v>31</v>
      </c>
      <c r="D9" s="49">
        <v>12</v>
      </c>
      <c r="E9" s="29" t="str">
        <f t="shared" si="3"/>
        <v>W</v>
      </c>
      <c r="F9" s="41">
        <v>11</v>
      </c>
      <c r="G9" s="49" t="str">
        <f t="shared" si="4"/>
        <v>W</v>
      </c>
      <c r="H9" s="41">
        <v>20</v>
      </c>
      <c r="I9" s="41" t="str">
        <f t="shared" si="5"/>
        <v>W</v>
      </c>
      <c r="J9" s="41">
        <v>23</v>
      </c>
      <c r="K9" s="41" t="str">
        <f t="shared" si="6"/>
        <v>W</v>
      </c>
      <c r="L9" s="41">
        <v>22</v>
      </c>
      <c r="M9" s="41" t="str">
        <f t="shared" si="7"/>
        <v>W</v>
      </c>
      <c r="N9" s="41">
        <v>18</v>
      </c>
      <c r="O9" s="293" t="str">
        <f t="shared" si="8"/>
        <v>W</v>
      </c>
      <c r="P9" s="43">
        <v>26</v>
      </c>
      <c r="Q9" s="43" t="str">
        <f t="shared" si="9"/>
        <v>W</v>
      </c>
      <c r="R9" s="43">
        <v>21</v>
      </c>
      <c r="S9" s="43" t="str">
        <f t="shared" si="10"/>
        <v>W</v>
      </c>
      <c r="T9" s="43">
        <v>18</v>
      </c>
      <c r="U9" s="43" t="str">
        <f t="shared" si="11"/>
        <v>W</v>
      </c>
      <c r="V9" s="44">
        <v>27</v>
      </c>
      <c r="W9" s="44" t="str">
        <f t="shared" si="12"/>
        <v>W</v>
      </c>
      <c r="X9" s="44"/>
      <c r="Y9" s="44"/>
      <c r="Z9" s="44"/>
      <c r="AA9" s="44"/>
      <c r="AB9" s="99">
        <v>33</v>
      </c>
      <c r="AC9" s="99" t="str">
        <f t="shared" si="13"/>
        <v>W</v>
      </c>
      <c r="AD9" s="99">
        <v>58</v>
      </c>
      <c r="AE9" s="99" t="str">
        <f t="shared" si="14"/>
        <v>C</v>
      </c>
      <c r="AF9" s="100">
        <f t="shared" si="15"/>
        <v>289</v>
      </c>
      <c r="AG9" s="101">
        <f t="shared" ref="AG9:AG37" si="20">AVERAGE(AF9/12)</f>
        <v>24.0833333333333</v>
      </c>
      <c r="AH9" s="100">
        <f t="shared" si="16"/>
        <v>25</v>
      </c>
      <c r="AI9" s="36">
        <f t="shared" si="17"/>
        <v>0</v>
      </c>
      <c r="AJ9" s="36">
        <f t="shared" si="0"/>
        <v>0</v>
      </c>
      <c r="AK9" s="36">
        <f t="shared" si="1"/>
        <v>1</v>
      </c>
      <c r="AL9" s="36">
        <f t="shared" si="2"/>
        <v>0</v>
      </c>
      <c r="AM9" s="36">
        <f t="shared" si="18"/>
        <v>11</v>
      </c>
      <c r="AN9" s="37">
        <f t="shared" si="19"/>
        <v>0</v>
      </c>
    </row>
    <row r="10" s="2" customFormat="1" ht="14.65" customHeight="1" spans="1:40">
      <c r="A10" s="24">
        <v>4</v>
      </c>
      <c r="B10" s="320" t="s">
        <v>34</v>
      </c>
      <c r="C10" s="236" t="s">
        <v>31</v>
      </c>
      <c r="D10" s="41">
        <v>13</v>
      </c>
      <c r="E10" s="29" t="str">
        <f t="shared" si="3"/>
        <v>W</v>
      </c>
      <c r="F10" s="41">
        <v>10</v>
      </c>
      <c r="G10" s="49" t="str">
        <f t="shared" si="4"/>
        <v>W</v>
      </c>
      <c r="H10" s="41">
        <v>16</v>
      </c>
      <c r="I10" s="41" t="str">
        <f t="shared" si="5"/>
        <v>W</v>
      </c>
      <c r="J10" s="41">
        <v>19</v>
      </c>
      <c r="K10" s="41" t="str">
        <f t="shared" si="6"/>
        <v>W</v>
      </c>
      <c r="L10" s="49">
        <v>27</v>
      </c>
      <c r="M10" s="41" t="str">
        <f t="shared" si="7"/>
        <v>W</v>
      </c>
      <c r="N10" s="41">
        <v>14</v>
      </c>
      <c r="O10" s="293" t="str">
        <f t="shared" si="8"/>
        <v>W</v>
      </c>
      <c r="P10" s="43">
        <v>12</v>
      </c>
      <c r="Q10" s="43" t="str">
        <f t="shared" si="9"/>
        <v>W</v>
      </c>
      <c r="R10" s="46" t="s">
        <v>29</v>
      </c>
      <c r="S10" s="46" t="s">
        <v>29</v>
      </c>
      <c r="T10" s="43">
        <v>28</v>
      </c>
      <c r="U10" s="43" t="str">
        <f t="shared" si="11"/>
        <v>W</v>
      </c>
      <c r="V10" s="44">
        <v>10</v>
      </c>
      <c r="W10" s="44" t="str">
        <f t="shared" si="12"/>
        <v>W</v>
      </c>
      <c r="X10" s="44"/>
      <c r="Y10" s="44"/>
      <c r="Z10" s="44"/>
      <c r="AA10" s="44"/>
      <c r="AB10" s="304" t="s">
        <v>29</v>
      </c>
      <c r="AC10" s="304" t="s">
        <v>29</v>
      </c>
      <c r="AD10" s="99">
        <v>45</v>
      </c>
      <c r="AE10" s="99" t="str">
        <f t="shared" si="14"/>
        <v>S</v>
      </c>
      <c r="AF10" s="100">
        <f t="shared" si="15"/>
        <v>194</v>
      </c>
      <c r="AG10" s="101">
        <f t="shared" si="20"/>
        <v>16.1666666666667</v>
      </c>
      <c r="AH10" s="100">
        <f t="shared" si="16"/>
        <v>30</v>
      </c>
      <c r="AI10" s="36">
        <f t="shared" si="17"/>
        <v>0</v>
      </c>
      <c r="AJ10" s="36">
        <f t="shared" si="0"/>
        <v>0</v>
      </c>
      <c r="AK10" s="36">
        <f t="shared" si="1"/>
        <v>0</v>
      </c>
      <c r="AL10" s="36">
        <f t="shared" si="2"/>
        <v>1</v>
      </c>
      <c r="AM10" s="36">
        <f t="shared" si="18"/>
        <v>9</v>
      </c>
      <c r="AN10" s="37">
        <f t="shared" si="19"/>
        <v>2</v>
      </c>
    </row>
    <row r="11" s="2" customFormat="1" ht="14.65" customHeight="1" spans="1:40">
      <c r="A11" s="39">
        <v>5</v>
      </c>
      <c r="B11" s="320" t="s">
        <v>35</v>
      </c>
      <c r="C11" s="236" t="s">
        <v>31</v>
      </c>
      <c r="D11" s="41">
        <v>16</v>
      </c>
      <c r="E11" s="29" t="str">
        <f t="shared" si="3"/>
        <v>W</v>
      </c>
      <c r="F11" s="41">
        <v>50</v>
      </c>
      <c r="G11" s="49" t="str">
        <f t="shared" si="4"/>
        <v>C</v>
      </c>
      <c r="H11" s="41">
        <v>32</v>
      </c>
      <c r="I11" s="41" t="str">
        <f t="shared" si="5"/>
        <v>W</v>
      </c>
      <c r="J11" s="49">
        <v>37</v>
      </c>
      <c r="K11" s="41" t="str">
        <f t="shared" si="6"/>
        <v>W</v>
      </c>
      <c r="L11" s="41">
        <v>56</v>
      </c>
      <c r="M11" s="41" t="str">
        <f t="shared" si="7"/>
        <v>C</v>
      </c>
      <c r="N11" s="41">
        <v>24</v>
      </c>
      <c r="O11" s="293" t="str">
        <f t="shared" si="8"/>
        <v>W</v>
      </c>
      <c r="P11" s="43">
        <v>55</v>
      </c>
      <c r="Q11" s="43" t="str">
        <f t="shared" si="9"/>
        <v>C</v>
      </c>
      <c r="R11" s="43">
        <v>29</v>
      </c>
      <c r="S11" s="43" t="str">
        <f t="shared" si="10"/>
        <v>W</v>
      </c>
      <c r="T11" s="43">
        <v>53</v>
      </c>
      <c r="U11" s="43" t="str">
        <f t="shared" si="11"/>
        <v>C</v>
      </c>
      <c r="V11" s="44"/>
      <c r="W11" s="44"/>
      <c r="X11" s="44">
        <v>74</v>
      </c>
      <c r="Y11" s="44" t="str">
        <f>IF(X11&gt;=75,"A",IF(X11&gt;=65,"B",IF(X11&gt;=50,"C",IF(X11&gt;=40,"S","W"))))</f>
        <v>B</v>
      </c>
      <c r="Z11" s="44"/>
      <c r="AA11" s="44"/>
      <c r="AB11" s="99">
        <v>39</v>
      </c>
      <c r="AC11" s="99" t="str">
        <f t="shared" si="13"/>
        <v>W</v>
      </c>
      <c r="AD11" s="99">
        <v>75</v>
      </c>
      <c r="AE11" s="99" t="str">
        <f t="shared" si="14"/>
        <v>A</v>
      </c>
      <c r="AF11" s="100">
        <f t="shared" si="15"/>
        <v>540</v>
      </c>
      <c r="AG11" s="101">
        <f t="shared" si="20"/>
        <v>45</v>
      </c>
      <c r="AH11" s="100">
        <f t="shared" si="16"/>
        <v>14</v>
      </c>
      <c r="AI11" s="36">
        <f t="shared" si="17"/>
        <v>1</v>
      </c>
      <c r="AJ11" s="36">
        <f t="shared" si="0"/>
        <v>1</v>
      </c>
      <c r="AK11" s="36">
        <f t="shared" si="1"/>
        <v>4</v>
      </c>
      <c r="AL11" s="36">
        <f t="shared" si="2"/>
        <v>0</v>
      </c>
      <c r="AM11" s="36">
        <f t="shared" si="18"/>
        <v>6</v>
      </c>
      <c r="AN11" s="37">
        <f t="shared" si="19"/>
        <v>0</v>
      </c>
    </row>
    <row r="12" s="2" customFormat="1" ht="14.65" customHeight="1" spans="1:40">
      <c r="A12" s="24">
        <v>6</v>
      </c>
      <c r="B12" s="320" t="s">
        <v>36</v>
      </c>
      <c r="C12" s="236" t="s">
        <v>31</v>
      </c>
      <c r="D12" s="41">
        <v>35</v>
      </c>
      <c r="E12" s="29" t="str">
        <f t="shared" si="3"/>
        <v>W</v>
      </c>
      <c r="F12" s="41">
        <v>33</v>
      </c>
      <c r="G12" s="49" t="str">
        <f t="shared" si="4"/>
        <v>W</v>
      </c>
      <c r="H12" s="41">
        <v>36</v>
      </c>
      <c r="I12" s="41" t="str">
        <f t="shared" si="5"/>
        <v>W</v>
      </c>
      <c r="J12" s="49">
        <v>26</v>
      </c>
      <c r="K12" s="41" t="str">
        <f t="shared" si="6"/>
        <v>W</v>
      </c>
      <c r="L12" s="41">
        <v>51</v>
      </c>
      <c r="M12" s="41" t="str">
        <f t="shared" si="7"/>
        <v>C</v>
      </c>
      <c r="N12" s="41">
        <v>40</v>
      </c>
      <c r="O12" s="293" t="str">
        <f t="shared" si="8"/>
        <v>S</v>
      </c>
      <c r="P12" s="43">
        <v>56</v>
      </c>
      <c r="Q12" s="43" t="str">
        <f t="shared" si="9"/>
        <v>C</v>
      </c>
      <c r="R12" s="43">
        <v>41</v>
      </c>
      <c r="S12" s="43" t="str">
        <f t="shared" si="10"/>
        <v>S</v>
      </c>
      <c r="T12" s="43">
        <v>65</v>
      </c>
      <c r="U12" s="43" t="str">
        <f t="shared" si="11"/>
        <v>B</v>
      </c>
      <c r="V12" s="44"/>
      <c r="W12" s="44"/>
      <c r="X12" s="44">
        <v>39</v>
      </c>
      <c r="Y12" s="44" t="str">
        <f t="shared" ref="Y12:Y36" si="21">IF(X12&gt;=75,"A",IF(X12&gt;=65,"B",IF(X12&gt;=50,"C",IF(X12&gt;=40,"S","W"))))</f>
        <v>W</v>
      </c>
      <c r="Z12" s="44"/>
      <c r="AA12" s="44"/>
      <c r="AB12" s="99">
        <v>45</v>
      </c>
      <c r="AC12" s="99" t="str">
        <f t="shared" si="13"/>
        <v>S</v>
      </c>
      <c r="AD12" s="99">
        <v>80</v>
      </c>
      <c r="AE12" s="99" t="str">
        <f t="shared" si="14"/>
        <v>A</v>
      </c>
      <c r="AF12" s="100">
        <f t="shared" si="15"/>
        <v>547</v>
      </c>
      <c r="AG12" s="101">
        <f t="shared" si="20"/>
        <v>45.5833333333333</v>
      </c>
      <c r="AH12" s="100">
        <f t="shared" si="16"/>
        <v>13</v>
      </c>
      <c r="AI12" s="36">
        <f t="shared" si="17"/>
        <v>1</v>
      </c>
      <c r="AJ12" s="36">
        <f t="shared" si="0"/>
        <v>1</v>
      </c>
      <c r="AK12" s="36">
        <f t="shared" si="1"/>
        <v>2</v>
      </c>
      <c r="AL12" s="36">
        <f t="shared" si="2"/>
        <v>3</v>
      </c>
      <c r="AM12" s="36">
        <f t="shared" si="18"/>
        <v>5</v>
      </c>
      <c r="AN12" s="37">
        <f t="shared" si="19"/>
        <v>0</v>
      </c>
    </row>
    <row r="13" s="2" customFormat="1" ht="14.65" customHeight="1" spans="1:40">
      <c r="A13" s="39">
        <v>7</v>
      </c>
      <c r="B13" s="320" t="s">
        <v>37</v>
      </c>
      <c r="C13" s="236" t="s">
        <v>31</v>
      </c>
      <c r="D13" s="41">
        <v>16</v>
      </c>
      <c r="E13" s="29" t="str">
        <f t="shared" si="3"/>
        <v>W</v>
      </c>
      <c r="F13" s="41">
        <v>20</v>
      </c>
      <c r="G13" s="49" t="str">
        <f t="shared" si="4"/>
        <v>W</v>
      </c>
      <c r="H13" s="41">
        <v>25</v>
      </c>
      <c r="I13" s="41" t="str">
        <f t="shared" si="5"/>
        <v>W</v>
      </c>
      <c r="J13" s="41">
        <v>21</v>
      </c>
      <c r="K13" s="41" t="str">
        <f t="shared" si="6"/>
        <v>W</v>
      </c>
      <c r="L13" s="41">
        <v>32</v>
      </c>
      <c r="M13" s="41" t="str">
        <f t="shared" si="7"/>
        <v>W</v>
      </c>
      <c r="N13" s="41">
        <v>16</v>
      </c>
      <c r="O13" s="293" t="str">
        <f t="shared" si="8"/>
        <v>W</v>
      </c>
      <c r="P13" s="43">
        <v>26</v>
      </c>
      <c r="Q13" s="43" t="str">
        <f t="shared" si="9"/>
        <v>W</v>
      </c>
      <c r="R13" s="43">
        <v>28</v>
      </c>
      <c r="S13" s="43" t="str">
        <f t="shared" si="10"/>
        <v>W</v>
      </c>
      <c r="T13" s="43">
        <v>31</v>
      </c>
      <c r="U13" s="43" t="str">
        <f t="shared" si="11"/>
        <v>W</v>
      </c>
      <c r="V13" s="44"/>
      <c r="W13" s="44"/>
      <c r="X13" s="44">
        <v>48</v>
      </c>
      <c r="Y13" s="44" t="str">
        <f t="shared" si="21"/>
        <v>S</v>
      </c>
      <c r="Z13" s="44"/>
      <c r="AA13" s="44"/>
      <c r="AB13" s="99">
        <v>22</v>
      </c>
      <c r="AC13" s="99" t="str">
        <f t="shared" si="13"/>
        <v>W</v>
      </c>
      <c r="AD13" s="99">
        <v>60</v>
      </c>
      <c r="AE13" s="99" t="str">
        <f t="shared" si="14"/>
        <v>C</v>
      </c>
      <c r="AF13" s="100">
        <f t="shared" si="15"/>
        <v>345</v>
      </c>
      <c r="AG13" s="101">
        <f t="shared" si="20"/>
        <v>28.75</v>
      </c>
      <c r="AH13" s="100">
        <f t="shared" si="16"/>
        <v>24</v>
      </c>
      <c r="AI13" s="36">
        <f t="shared" si="17"/>
        <v>0</v>
      </c>
      <c r="AJ13" s="36">
        <f t="shared" si="0"/>
        <v>0</v>
      </c>
      <c r="AK13" s="36">
        <f t="shared" si="1"/>
        <v>1</v>
      </c>
      <c r="AL13" s="36">
        <f t="shared" si="2"/>
        <v>1</v>
      </c>
      <c r="AM13" s="36">
        <f t="shared" si="18"/>
        <v>10</v>
      </c>
      <c r="AN13" s="37">
        <f t="shared" si="19"/>
        <v>0</v>
      </c>
    </row>
    <row r="14" s="2" customFormat="1" ht="14.65" customHeight="1" spans="1:40">
      <c r="A14" s="24">
        <v>8</v>
      </c>
      <c r="B14" s="320" t="s">
        <v>38</v>
      </c>
      <c r="C14" s="236" t="s">
        <v>31</v>
      </c>
      <c r="D14" s="41">
        <v>33</v>
      </c>
      <c r="E14" s="29" t="str">
        <f t="shared" si="3"/>
        <v>W</v>
      </c>
      <c r="F14" s="41">
        <v>37</v>
      </c>
      <c r="G14" s="49" t="str">
        <f t="shared" si="4"/>
        <v>W</v>
      </c>
      <c r="H14" s="41">
        <v>29</v>
      </c>
      <c r="I14" s="41" t="str">
        <f t="shared" si="5"/>
        <v>W</v>
      </c>
      <c r="J14" s="41">
        <v>21</v>
      </c>
      <c r="K14" s="41" t="str">
        <f t="shared" si="6"/>
        <v>W</v>
      </c>
      <c r="L14" s="41">
        <v>31</v>
      </c>
      <c r="M14" s="41" t="str">
        <f t="shared" si="7"/>
        <v>W</v>
      </c>
      <c r="N14" s="49">
        <v>31</v>
      </c>
      <c r="O14" s="293" t="str">
        <f t="shared" si="8"/>
        <v>W</v>
      </c>
      <c r="P14" s="43">
        <v>42</v>
      </c>
      <c r="Q14" s="43" t="str">
        <f t="shared" si="9"/>
        <v>S</v>
      </c>
      <c r="R14" s="43">
        <v>37</v>
      </c>
      <c r="S14" s="43" t="str">
        <f t="shared" si="10"/>
        <v>W</v>
      </c>
      <c r="T14" s="43">
        <v>23</v>
      </c>
      <c r="U14" s="43" t="str">
        <f t="shared" si="11"/>
        <v>W</v>
      </c>
      <c r="V14" s="44">
        <v>27</v>
      </c>
      <c r="W14" s="44" t="str">
        <f t="shared" si="12"/>
        <v>W</v>
      </c>
      <c r="X14" s="44"/>
      <c r="Y14" s="44"/>
      <c r="Z14" s="44"/>
      <c r="AA14" s="44"/>
      <c r="AB14" s="99">
        <v>34</v>
      </c>
      <c r="AC14" s="99" t="str">
        <f t="shared" si="13"/>
        <v>W</v>
      </c>
      <c r="AD14" s="99">
        <v>60</v>
      </c>
      <c r="AE14" s="99" t="str">
        <f t="shared" si="14"/>
        <v>C</v>
      </c>
      <c r="AF14" s="100">
        <f t="shared" si="15"/>
        <v>405</v>
      </c>
      <c r="AG14" s="101">
        <f t="shared" si="20"/>
        <v>33.75</v>
      </c>
      <c r="AH14" s="100">
        <f t="shared" si="16"/>
        <v>20</v>
      </c>
      <c r="AI14" s="36">
        <f t="shared" si="17"/>
        <v>0</v>
      </c>
      <c r="AJ14" s="36">
        <f t="shared" si="0"/>
        <v>0</v>
      </c>
      <c r="AK14" s="36">
        <f t="shared" si="1"/>
        <v>1</v>
      </c>
      <c r="AL14" s="36">
        <f t="shared" si="2"/>
        <v>1</v>
      </c>
      <c r="AM14" s="36">
        <f t="shared" si="18"/>
        <v>10</v>
      </c>
      <c r="AN14" s="37">
        <f t="shared" si="19"/>
        <v>0</v>
      </c>
    </row>
    <row r="15" s="2" customFormat="1" ht="14.65" customHeight="1" spans="1:40">
      <c r="A15" s="39">
        <v>9</v>
      </c>
      <c r="B15" s="320" t="s">
        <v>39</v>
      </c>
      <c r="C15" s="236" t="s">
        <v>31</v>
      </c>
      <c r="D15" s="41">
        <v>43</v>
      </c>
      <c r="E15" s="29" t="str">
        <f t="shared" si="3"/>
        <v>S</v>
      </c>
      <c r="F15" s="41">
        <v>26</v>
      </c>
      <c r="G15" s="49" t="str">
        <f t="shared" si="4"/>
        <v>W</v>
      </c>
      <c r="H15" s="41">
        <v>26</v>
      </c>
      <c r="I15" s="41" t="str">
        <f t="shared" si="5"/>
        <v>W</v>
      </c>
      <c r="J15" s="41">
        <v>24</v>
      </c>
      <c r="K15" s="41" t="str">
        <f t="shared" si="6"/>
        <v>W</v>
      </c>
      <c r="L15" s="41">
        <v>32</v>
      </c>
      <c r="M15" s="41" t="str">
        <f t="shared" si="7"/>
        <v>W</v>
      </c>
      <c r="N15" s="49">
        <v>16</v>
      </c>
      <c r="O15" s="293" t="str">
        <f t="shared" si="8"/>
        <v>W</v>
      </c>
      <c r="P15" s="43">
        <v>37</v>
      </c>
      <c r="Q15" s="43" t="str">
        <f t="shared" si="9"/>
        <v>W</v>
      </c>
      <c r="R15" s="43">
        <v>39</v>
      </c>
      <c r="S15" s="43" t="str">
        <f t="shared" si="10"/>
        <v>W</v>
      </c>
      <c r="T15" s="43">
        <v>17</v>
      </c>
      <c r="U15" s="43" t="str">
        <f t="shared" si="11"/>
        <v>W</v>
      </c>
      <c r="V15" s="44"/>
      <c r="W15" s="44"/>
      <c r="X15" s="44">
        <v>57</v>
      </c>
      <c r="Y15" s="44" t="str">
        <f t="shared" si="21"/>
        <v>C</v>
      </c>
      <c r="Z15" s="44"/>
      <c r="AA15" s="44"/>
      <c r="AB15" s="99">
        <v>28</v>
      </c>
      <c r="AC15" s="99" t="str">
        <f t="shared" si="13"/>
        <v>W</v>
      </c>
      <c r="AD15" s="99">
        <v>75</v>
      </c>
      <c r="AE15" s="99" t="str">
        <f t="shared" si="14"/>
        <v>A</v>
      </c>
      <c r="AF15" s="100">
        <f t="shared" si="15"/>
        <v>420</v>
      </c>
      <c r="AG15" s="101">
        <f t="shared" si="20"/>
        <v>35</v>
      </c>
      <c r="AH15" s="100">
        <f t="shared" si="16"/>
        <v>19</v>
      </c>
      <c r="AI15" s="36">
        <f t="shared" si="17"/>
        <v>1</v>
      </c>
      <c r="AJ15" s="36">
        <f t="shared" si="0"/>
        <v>0</v>
      </c>
      <c r="AK15" s="36">
        <f t="shared" si="1"/>
        <v>1</v>
      </c>
      <c r="AL15" s="36">
        <f t="shared" si="2"/>
        <v>1</v>
      </c>
      <c r="AM15" s="36">
        <f t="shared" si="18"/>
        <v>9</v>
      </c>
      <c r="AN15" s="37">
        <f t="shared" si="19"/>
        <v>0</v>
      </c>
    </row>
    <row r="16" s="2" customFormat="1" ht="14.65" customHeight="1" spans="1:40">
      <c r="A16" s="24">
        <v>10</v>
      </c>
      <c r="B16" s="320" t="s">
        <v>40</v>
      </c>
      <c r="C16" s="236" t="s">
        <v>31</v>
      </c>
      <c r="D16" s="41">
        <v>18</v>
      </c>
      <c r="E16" s="29" t="str">
        <f t="shared" si="3"/>
        <v>W</v>
      </c>
      <c r="F16" s="49">
        <v>12</v>
      </c>
      <c r="G16" s="49" t="str">
        <f t="shared" si="4"/>
        <v>W</v>
      </c>
      <c r="H16" s="41">
        <v>14</v>
      </c>
      <c r="I16" s="41" t="str">
        <f t="shared" si="5"/>
        <v>W</v>
      </c>
      <c r="J16" s="41">
        <v>19</v>
      </c>
      <c r="K16" s="41" t="str">
        <f t="shared" si="6"/>
        <v>W</v>
      </c>
      <c r="L16" s="41">
        <v>32</v>
      </c>
      <c r="M16" s="41" t="str">
        <f t="shared" si="7"/>
        <v>W</v>
      </c>
      <c r="N16" s="49">
        <v>20</v>
      </c>
      <c r="O16" s="293" t="str">
        <f t="shared" si="8"/>
        <v>W</v>
      </c>
      <c r="P16" s="43">
        <v>8</v>
      </c>
      <c r="Q16" s="43" t="str">
        <f t="shared" si="9"/>
        <v>W</v>
      </c>
      <c r="R16" s="43">
        <v>16</v>
      </c>
      <c r="S16" s="43" t="str">
        <f t="shared" si="10"/>
        <v>W</v>
      </c>
      <c r="T16" s="43">
        <v>24</v>
      </c>
      <c r="U16" s="43" t="str">
        <f t="shared" si="11"/>
        <v>W</v>
      </c>
      <c r="V16" s="44"/>
      <c r="W16" s="44"/>
      <c r="X16" s="44">
        <v>39</v>
      </c>
      <c r="Y16" s="44" t="str">
        <f t="shared" si="21"/>
        <v>W</v>
      </c>
      <c r="Z16" s="44"/>
      <c r="AA16" s="44"/>
      <c r="AB16" s="99">
        <v>20</v>
      </c>
      <c r="AC16" s="99" t="str">
        <f t="shared" si="13"/>
        <v>W</v>
      </c>
      <c r="AD16" s="99">
        <v>45</v>
      </c>
      <c r="AE16" s="99" t="str">
        <f t="shared" si="14"/>
        <v>S</v>
      </c>
      <c r="AF16" s="100">
        <f t="shared" si="15"/>
        <v>267</v>
      </c>
      <c r="AG16" s="101">
        <f t="shared" si="20"/>
        <v>22.25</v>
      </c>
      <c r="AH16" s="100">
        <f t="shared" si="16"/>
        <v>27</v>
      </c>
      <c r="AI16" s="36">
        <f t="shared" si="17"/>
        <v>0</v>
      </c>
      <c r="AJ16" s="36">
        <f t="shared" si="0"/>
        <v>0</v>
      </c>
      <c r="AK16" s="36">
        <f t="shared" si="1"/>
        <v>0</v>
      </c>
      <c r="AL16" s="36">
        <f t="shared" si="2"/>
        <v>1</v>
      </c>
      <c r="AM16" s="36">
        <f t="shared" si="18"/>
        <v>11</v>
      </c>
      <c r="AN16" s="37">
        <f t="shared" si="19"/>
        <v>0</v>
      </c>
    </row>
    <row r="17" s="2" customFormat="1" ht="14.65" customHeight="1" spans="1:40">
      <c r="A17" s="39">
        <v>11</v>
      </c>
      <c r="B17" s="320" t="s">
        <v>41</v>
      </c>
      <c r="C17" s="236" t="s">
        <v>31</v>
      </c>
      <c r="D17" s="41">
        <v>20</v>
      </c>
      <c r="E17" s="29" t="str">
        <f t="shared" si="3"/>
        <v>W</v>
      </c>
      <c r="F17" s="49">
        <v>5</v>
      </c>
      <c r="G17" s="49" t="str">
        <f t="shared" si="4"/>
        <v>W</v>
      </c>
      <c r="H17" s="41">
        <v>12</v>
      </c>
      <c r="I17" s="41" t="str">
        <f t="shared" si="5"/>
        <v>W</v>
      </c>
      <c r="J17" s="41">
        <v>11</v>
      </c>
      <c r="K17" s="41" t="str">
        <f t="shared" si="6"/>
        <v>W</v>
      </c>
      <c r="L17" s="41">
        <v>29</v>
      </c>
      <c r="M17" s="41" t="str">
        <f t="shared" si="7"/>
        <v>W</v>
      </c>
      <c r="N17" s="49">
        <v>28</v>
      </c>
      <c r="O17" s="293" t="str">
        <f t="shared" si="8"/>
        <v>W</v>
      </c>
      <c r="P17" s="43">
        <v>21</v>
      </c>
      <c r="Q17" s="43" t="str">
        <f t="shared" si="9"/>
        <v>W</v>
      </c>
      <c r="R17" s="43">
        <v>16</v>
      </c>
      <c r="S17" s="43" t="str">
        <f t="shared" si="10"/>
        <v>W</v>
      </c>
      <c r="T17" s="43">
        <v>20</v>
      </c>
      <c r="U17" s="43" t="str">
        <f t="shared" si="11"/>
        <v>W</v>
      </c>
      <c r="V17" s="44"/>
      <c r="W17" s="44"/>
      <c r="X17" s="44">
        <v>59</v>
      </c>
      <c r="Y17" s="44" t="str">
        <f t="shared" si="21"/>
        <v>C</v>
      </c>
      <c r="Z17" s="44"/>
      <c r="AA17" s="44"/>
      <c r="AB17" s="99">
        <v>8</v>
      </c>
      <c r="AC17" s="99" t="str">
        <f t="shared" si="13"/>
        <v>W</v>
      </c>
      <c r="AD17" s="99">
        <v>45</v>
      </c>
      <c r="AE17" s="99" t="str">
        <f t="shared" si="14"/>
        <v>S</v>
      </c>
      <c r="AF17" s="100">
        <f t="shared" si="15"/>
        <v>274</v>
      </c>
      <c r="AG17" s="101">
        <f t="shared" si="20"/>
        <v>22.8333333333333</v>
      </c>
      <c r="AH17" s="100">
        <f t="shared" si="16"/>
        <v>26</v>
      </c>
      <c r="AI17" s="36">
        <f t="shared" si="17"/>
        <v>0</v>
      </c>
      <c r="AJ17" s="36">
        <f t="shared" si="0"/>
        <v>0</v>
      </c>
      <c r="AK17" s="36">
        <f t="shared" si="1"/>
        <v>1</v>
      </c>
      <c r="AL17" s="36">
        <f t="shared" si="2"/>
        <v>1</v>
      </c>
      <c r="AM17" s="36">
        <f t="shared" si="18"/>
        <v>10</v>
      </c>
      <c r="AN17" s="37">
        <f t="shared" si="19"/>
        <v>0</v>
      </c>
    </row>
    <row r="18" s="2" customFormat="1" ht="14.65" customHeight="1" spans="1:40">
      <c r="A18" s="24">
        <v>12</v>
      </c>
      <c r="B18" s="320" t="s">
        <v>42</v>
      </c>
      <c r="C18" s="236" t="s">
        <v>31</v>
      </c>
      <c r="D18" s="41">
        <v>4</v>
      </c>
      <c r="E18" s="29" t="str">
        <f t="shared" si="3"/>
        <v>W</v>
      </c>
      <c r="F18" s="41">
        <v>4</v>
      </c>
      <c r="G18" s="49" t="str">
        <f t="shared" si="4"/>
        <v>W</v>
      </c>
      <c r="H18" s="41">
        <v>2</v>
      </c>
      <c r="I18" s="41" t="str">
        <f t="shared" si="5"/>
        <v>W</v>
      </c>
      <c r="J18" s="41">
        <v>16</v>
      </c>
      <c r="K18" s="41" t="str">
        <f t="shared" si="6"/>
        <v>W</v>
      </c>
      <c r="L18" s="41">
        <v>14</v>
      </c>
      <c r="M18" s="41" t="str">
        <f t="shared" si="7"/>
        <v>W</v>
      </c>
      <c r="N18" s="49">
        <v>14</v>
      </c>
      <c r="O18" s="293" t="str">
        <f t="shared" si="8"/>
        <v>W</v>
      </c>
      <c r="P18" s="43">
        <v>16</v>
      </c>
      <c r="Q18" s="43" t="str">
        <f t="shared" si="9"/>
        <v>W</v>
      </c>
      <c r="R18" s="43">
        <v>10</v>
      </c>
      <c r="S18" s="43" t="str">
        <f t="shared" si="10"/>
        <v>W</v>
      </c>
      <c r="T18" s="43">
        <v>7</v>
      </c>
      <c r="U18" s="43" t="str">
        <f t="shared" si="11"/>
        <v>W</v>
      </c>
      <c r="V18" s="44"/>
      <c r="W18" s="44"/>
      <c r="X18" s="44">
        <v>39</v>
      </c>
      <c r="Y18" s="44" t="str">
        <f t="shared" si="21"/>
        <v>W</v>
      </c>
      <c r="Z18" s="44"/>
      <c r="AA18" s="44"/>
      <c r="AB18" s="99">
        <v>10</v>
      </c>
      <c r="AC18" s="99" t="str">
        <f t="shared" si="13"/>
        <v>W</v>
      </c>
      <c r="AD18" s="99">
        <v>40</v>
      </c>
      <c r="AE18" s="99" t="str">
        <f t="shared" si="14"/>
        <v>S</v>
      </c>
      <c r="AF18" s="100">
        <f t="shared" si="15"/>
        <v>176</v>
      </c>
      <c r="AG18" s="101">
        <f t="shared" si="20"/>
        <v>14.6666666666667</v>
      </c>
      <c r="AH18" s="100">
        <f t="shared" si="16"/>
        <v>31</v>
      </c>
      <c r="AI18" s="36">
        <f t="shared" si="17"/>
        <v>0</v>
      </c>
      <c r="AJ18" s="36">
        <f t="shared" si="0"/>
        <v>0</v>
      </c>
      <c r="AK18" s="36">
        <f t="shared" si="1"/>
        <v>0</v>
      </c>
      <c r="AL18" s="36">
        <f t="shared" si="2"/>
        <v>1</v>
      </c>
      <c r="AM18" s="36">
        <f t="shared" si="18"/>
        <v>11</v>
      </c>
      <c r="AN18" s="37">
        <f t="shared" si="19"/>
        <v>0</v>
      </c>
    </row>
    <row r="19" s="2" customFormat="1" ht="14.65" customHeight="1" spans="1:40">
      <c r="A19" s="39">
        <v>13</v>
      </c>
      <c r="B19" s="320" t="s">
        <v>43</v>
      </c>
      <c r="C19" s="236" t="s">
        <v>31</v>
      </c>
      <c r="D19" s="41">
        <v>7</v>
      </c>
      <c r="E19" s="29" t="str">
        <f t="shared" si="3"/>
        <v>W</v>
      </c>
      <c r="F19" s="41">
        <v>6</v>
      </c>
      <c r="G19" s="49" t="str">
        <f t="shared" si="4"/>
        <v>W</v>
      </c>
      <c r="H19" s="41">
        <v>10</v>
      </c>
      <c r="I19" s="41" t="str">
        <f t="shared" si="5"/>
        <v>W</v>
      </c>
      <c r="J19" s="41">
        <v>13</v>
      </c>
      <c r="K19" s="41" t="str">
        <f t="shared" si="6"/>
        <v>W</v>
      </c>
      <c r="L19" s="41">
        <v>22</v>
      </c>
      <c r="M19" s="41" t="str">
        <f t="shared" si="7"/>
        <v>W</v>
      </c>
      <c r="N19" s="49">
        <v>18</v>
      </c>
      <c r="O19" s="293" t="str">
        <f t="shared" si="8"/>
        <v>W</v>
      </c>
      <c r="P19" s="43">
        <v>12</v>
      </c>
      <c r="Q19" s="43" t="str">
        <f t="shared" si="9"/>
        <v>W</v>
      </c>
      <c r="R19" s="43">
        <v>12</v>
      </c>
      <c r="S19" s="43" t="str">
        <f t="shared" si="10"/>
        <v>W</v>
      </c>
      <c r="T19" s="43">
        <v>13</v>
      </c>
      <c r="U19" s="43" t="str">
        <f t="shared" si="11"/>
        <v>W</v>
      </c>
      <c r="V19" s="44"/>
      <c r="W19" s="44"/>
      <c r="X19" s="44">
        <v>50</v>
      </c>
      <c r="Y19" s="44" t="str">
        <f t="shared" si="21"/>
        <v>C</v>
      </c>
      <c r="Z19" s="44"/>
      <c r="AA19" s="44"/>
      <c r="AB19" s="99">
        <v>22</v>
      </c>
      <c r="AC19" s="99" t="str">
        <f t="shared" si="13"/>
        <v>W</v>
      </c>
      <c r="AD19" s="99">
        <v>50</v>
      </c>
      <c r="AE19" s="99" t="str">
        <f t="shared" si="14"/>
        <v>C</v>
      </c>
      <c r="AF19" s="100">
        <f t="shared" si="15"/>
        <v>235</v>
      </c>
      <c r="AG19" s="101">
        <f t="shared" si="20"/>
        <v>19.5833333333333</v>
      </c>
      <c r="AH19" s="100">
        <f t="shared" si="16"/>
        <v>29</v>
      </c>
      <c r="AI19" s="36">
        <f t="shared" si="17"/>
        <v>0</v>
      </c>
      <c r="AJ19" s="36">
        <f t="shared" si="0"/>
        <v>0</v>
      </c>
      <c r="AK19" s="36">
        <f t="shared" si="1"/>
        <v>2</v>
      </c>
      <c r="AL19" s="36">
        <f t="shared" si="2"/>
        <v>0</v>
      </c>
      <c r="AM19" s="36">
        <f t="shared" si="18"/>
        <v>10</v>
      </c>
      <c r="AN19" s="37">
        <f t="shared" si="19"/>
        <v>0</v>
      </c>
    </row>
    <row r="20" s="2" customFormat="1" ht="14.65" customHeight="1" spans="1:40">
      <c r="A20" s="24">
        <v>14</v>
      </c>
      <c r="B20" s="320" t="s">
        <v>44</v>
      </c>
      <c r="C20" s="236" t="s">
        <v>31</v>
      </c>
      <c r="D20" s="41">
        <v>39</v>
      </c>
      <c r="E20" s="29" t="str">
        <f t="shared" si="3"/>
        <v>W</v>
      </c>
      <c r="F20" s="41">
        <v>23</v>
      </c>
      <c r="G20" s="49" t="str">
        <f t="shared" si="4"/>
        <v>W</v>
      </c>
      <c r="H20" s="41">
        <v>32</v>
      </c>
      <c r="I20" s="41" t="str">
        <f t="shared" si="5"/>
        <v>W</v>
      </c>
      <c r="J20" s="41">
        <v>14</v>
      </c>
      <c r="K20" s="41" t="str">
        <f t="shared" si="6"/>
        <v>W</v>
      </c>
      <c r="L20" s="49">
        <v>43</v>
      </c>
      <c r="M20" s="41" t="str">
        <f t="shared" si="7"/>
        <v>S</v>
      </c>
      <c r="N20" s="49">
        <v>31</v>
      </c>
      <c r="O20" s="293" t="str">
        <f t="shared" si="8"/>
        <v>W</v>
      </c>
      <c r="P20" s="43">
        <v>54</v>
      </c>
      <c r="Q20" s="43" t="str">
        <f t="shared" si="9"/>
        <v>C</v>
      </c>
      <c r="R20" s="43">
        <v>43</v>
      </c>
      <c r="S20" s="43" t="str">
        <f t="shared" si="10"/>
        <v>S</v>
      </c>
      <c r="T20" s="43">
        <v>41</v>
      </c>
      <c r="U20" s="43" t="str">
        <f t="shared" si="11"/>
        <v>S</v>
      </c>
      <c r="V20" s="44"/>
      <c r="W20" s="44"/>
      <c r="X20" s="44">
        <v>76</v>
      </c>
      <c r="Y20" s="44" t="str">
        <f t="shared" si="21"/>
        <v>A</v>
      </c>
      <c r="Z20" s="44"/>
      <c r="AA20" s="44"/>
      <c r="AB20" s="99">
        <v>51</v>
      </c>
      <c r="AC20" s="99" t="str">
        <f t="shared" si="13"/>
        <v>C</v>
      </c>
      <c r="AD20" s="99">
        <v>55</v>
      </c>
      <c r="AE20" s="99" t="str">
        <f t="shared" si="14"/>
        <v>C</v>
      </c>
      <c r="AF20" s="100">
        <f t="shared" si="15"/>
        <v>502</v>
      </c>
      <c r="AG20" s="101">
        <f t="shared" si="20"/>
        <v>41.8333333333333</v>
      </c>
      <c r="AH20" s="100">
        <f t="shared" si="16"/>
        <v>17</v>
      </c>
      <c r="AI20" s="36">
        <f t="shared" si="17"/>
        <v>1</v>
      </c>
      <c r="AJ20" s="36">
        <f t="shared" si="0"/>
        <v>0</v>
      </c>
      <c r="AK20" s="36">
        <f t="shared" si="1"/>
        <v>3</v>
      </c>
      <c r="AL20" s="36">
        <f t="shared" si="2"/>
        <v>3</v>
      </c>
      <c r="AM20" s="36">
        <f t="shared" si="18"/>
        <v>5</v>
      </c>
      <c r="AN20" s="37">
        <f t="shared" si="19"/>
        <v>0</v>
      </c>
    </row>
    <row r="21" s="2" customFormat="1" ht="14.65" customHeight="1" spans="1:40">
      <c r="A21" s="39">
        <v>15</v>
      </c>
      <c r="B21" s="320" t="s">
        <v>45</v>
      </c>
      <c r="C21" s="236" t="s">
        <v>31</v>
      </c>
      <c r="D21" s="41">
        <v>39</v>
      </c>
      <c r="E21" s="29" t="str">
        <f t="shared" si="3"/>
        <v>W</v>
      </c>
      <c r="F21" s="41">
        <v>64</v>
      </c>
      <c r="G21" s="49" t="str">
        <f t="shared" si="4"/>
        <v>C</v>
      </c>
      <c r="H21" s="41">
        <v>17</v>
      </c>
      <c r="I21" s="41" t="str">
        <f t="shared" si="5"/>
        <v>W</v>
      </c>
      <c r="J21" s="41">
        <v>25</v>
      </c>
      <c r="K21" s="41" t="str">
        <f t="shared" si="6"/>
        <v>W</v>
      </c>
      <c r="L21" s="41">
        <v>36</v>
      </c>
      <c r="M21" s="41" t="str">
        <f t="shared" si="7"/>
        <v>W</v>
      </c>
      <c r="N21" s="49">
        <v>29</v>
      </c>
      <c r="O21" s="293" t="str">
        <f t="shared" si="8"/>
        <v>W</v>
      </c>
      <c r="P21" s="43">
        <v>39</v>
      </c>
      <c r="Q21" s="43" t="str">
        <f t="shared" si="9"/>
        <v>W</v>
      </c>
      <c r="R21" s="43">
        <v>20</v>
      </c>
      <c r="S21" s="43" t="str">
        <f t="shared" si="10"/>
        <v>W</v>
      </c>
      <c r="T21" s="43">
        <v>49</v>
      </c>
      <c r="U21" s="43" t="str">
        <f t="shared" si="11"/>
        <v>S</v>
      </c>
      <c r="V21" s="44">
        <v>26</v>
      </c>
      <c r="W21" s="44" t="str">
        <f t="shared" ref="W21:W29" si="22">IF(V21&gt;=75,"A",IF(V21&gt;=65,"B",IF(V21&gt;=50,"C",IF(V21&gt;=36,"S","W"))))</f>
        <v>W</v>
      </c>
      <c r="X21" s="44"/>
      <c r="Y21" s="44"/>
      <c r="Z21" s="44"/>
      <c r="AA21" s="44"/>
      <c r="AB21" s="99">
        <v>34</v>
      </c>
      <c r="AC21" s="99" t="str">
        <f t="shared" si="13"/>
        <v>W</v>
      </c>
      <c r="AD21" s="99">
        <v>65</v>
      </c>
      <c r="AE21" s="99" t="str">
        <f t="shared" si="14"/>
        <v>B</v>
      </c>
      <c r="AF21" s="100">
        <f t="shared" si="15"/>
        <v>443</v>
      </c>
      <c r="AG21" s="101">
        <f t="shared" si="20"/>
        <v>36.9166666666667</v>
      </c>
      <c r="AH21" s="100">
        <f t="shared" si="16"/>
        <v>18</v>
      </c>
      <c r="AI21" s="36">
        <f t="shared" si="17"/>
        <v>0</v>
      </c>
      <c r="AJ21" s="36">
        <f t="shared" si="0"/>
        <v>1</v>
      </c>
      <c r="AK21" s="36">
        <f t="shared" si="1"/>
        <v>1</v>
      </c>
      <c r="AL21" s="36">
        <f t="shared" si="2"/>
        <v>1</v>
      </c>
      <c r="AM21" s="36">
        <f t="shared" si="18"/>
        <v>9</v>
      </c>
      <c r="AN21" s="37">
        <f t="shared" si="19"/>
        <v>0</v>
      </c>
    </row>
    <row r="22" s="2" customFormat="1" ht="14.65" customHeight="1" spans="1:40">
      <c r="A22" s="24">
        <v>16</v>
      </c>
      <c r="B22" s="320" t="s">
        <v>46</v>
      </c>
      <c r="C22" s="236" t="s">
        <v>31</v>
      </c>
      <c r="D22" s="41">
        <v>73</v>
      </c>
      <c r="E22" s="29" t="str">
        <f t="shared" si="3"/>
        <v>B</v>
      </c>
      <c r="F22" s="41">
        <v>70</v>
      </c>
      <c r="G22" s="49" t="str">
        <f t="shared" si="4"/>
        <v>B</v>
      </c>
      <c r="H22" s="41">
        <v>45</v>
      </c>
      <c r="I22" s="41" t="str">
        <f t="shared" si="5"/>
        <v>S</v>
      </c>
      <c r="J22" s="41">
        <v>71</v>
      </c>
      <c r="K22" s="41" t="str">
        <f t="shared" si="6"/>
        <v>B</v>
      </c>
      <c r="L22" s="41">
        <v>51</v>
      </c>
      <c r="M22" s="41" t="str">
        <f t="shared" si="7"/>
        <v>C</v>
      </c>
      <c r="N22" s="49">
        <v>67</v>
      </c>
      <c r="O22" s="293" t="str">
        <f t="shared" si="8"/>
        <v>B</v>
      </c>
      <c r="P22" s="43">
        <v>84</v>
      </c>
      <c r="Q22" s="43" t="str">
        <f t="shared" si="9"/>
        <v>A</v>
      </c>
      <c r="R22" s="43">
        <v>72</v>
      </c>
      <c r="S22" s="43" t="str">
        <f t="shared" si="10"/>
        <v>B</v>
      </c>
      <c r="T22" s="43">
        <v>98</v>
      </c>
      <c r="U22" s="43" t="str">
        <f t="shared" si="11"/>
        <v>A</v>
      </c>
      <c r="V22" s="44"/>
      <c r="W22" s="44"/>
      <c r="X22" s="44"/>
      <c r="Y22" s="44"/>
      <c r="Z22" s="44">
        <v>79</v>
      </c>
      <c r="AA22" s="44" t="str">
        <f>IF(Z22&gt;=75,"A",IF(Z22&gt;=65,"B",IF(Z22&gt;=50,"C",IF(Z22&gt;=40,"S","W"))))</f>
        <v>A</v>
      </c>
      <c r="AB22" s="99">
        <v>58</v>
      </c>
      <c r="AC22" s="99" t="str">
        <f t="shared" si="13"/>
        <v>C</v>
      </c>
      <c r="AD22" s="99">
        <v>88</v>
      </c>
      <c r="AE22" s="99" t="str">
        <f t="shared" si="14"/>
        <v>A</v>
      </c>
      <c r="AF22" s="100">
        <f t="shared" si="15"/>
        <v>856</v>
      </c>
      <c r="AG22" s="101">
        <f t="shared" si="20"/>
        <v>71.3333333333333</v>
      </c>
      <c r="AH22" s="100">
        <f t="shared" si="16"/>
        <v>2</v>
      </c>
      <c r="AI22" s="36">
        <f t="shared" si="17"/>
        <v>4</v>
      </c>
      <c r="AJ22" s="36">
        <f t="shared" si="0"/>
        <v>5</v>
      </c>
      <c r="AK22" s="36">
        <f t="shared" si="1"/>
        <v>2</v>
      </c>
      <c r="AL22" s="36">
        <f t="shared" si="2"/>
        <v>1</v>
      </c>
      <c r="AM22" s="36">
        <f t="shared" si="18"/>
        <v>0</v>
      </c>
      <c r="AN22" s="37">
        <f t="shared" si="19"/>
        <v>0</v>
      </c>
    </row>
    <row r="23" s="2" customFormat="1" ht="14.65" customHeight="1" spans="1:40">
      <c r="A23" s="39">
        <v>17</v>
      </c>
      <c r="B23" s="320" t="s">
        <v>47</v>
      </c>
      <c r="C23" s="236" t="s">
        <v>31</v>
      </c>
      <c r="D23" s="41">
        <v>47</v>
      </c>
      <c r="E23" s="29" t="str">
        <f t="shared" si="3"/>
        <v>S</v>
      </c>
      <c r="F23" s="41">
        <v>32</v>
      </c>
      <c r="G23" s="49" t="str">
        <f t="shared" si="4"/>
        <v>W</v>
      </c>
      <c r="H23" s="41">
        <v>49</v>
      </c>
      <c r="I23" s="41" t="str">
        <f t="shared" si="5"/>
        <v>S</v>
      </c>
      <c r="J23" s="41">
        <v>47</v>
      </c>
      <c r="K23" s="41" t="str">
        <f t="shared" si="6"/>
        <v>S</v>
      </c>
      <c r="L23" s="41">
        <v>39</v>
      </c>
      <c r="M23" s="41" t="str">
        <f t="shared" si="7"/>
        <v>W</v>
      </c>
      <c r="N23" s="49">
        <v>46</v>
      </c>
      <c r="O23" s="293" t="str">
        <f t="shared" si="8"/>
        <v>S</v>
      </c>
      <c r="P23" s="43">
        <v>69</v>
      </c>
      <c r="Q23" s="43" t="str">
        <f t="shared" si="9"/>
        <v>B</v>
      </c>
      <c r="R23" s="43">
        <v>54</v>
      </c>
      <c r="S23" s="43" t="str">
        <f t="shared" si="10"/>
        <v>C</v>
      </c>
      <c r="T23" s="43">
        <v>34</v>
      </c>
      <c r="U23" s="43" t="str">
        <f t="shared" si="11"/>
        <v>W</v>
      </c>
      <c r="V23" s="44"/>
      <c r="W23" s="44"/>
      <c r="X23" s="44"/>
      <c r="Y23" s="44"/>
      <c r="Z23" s="44">
        <v>70</v>
      </c>
      <c r="AA23" s="44" t="str">
        <f>IF(Z23&gt;=75,"A",IF(Z23&gt;=65,"B",IF(Z23&gt;=50,"C",IF(Z23&gt;=40,"S","W"))))</f>
        <v>B</v>
      </c>
      <c r="AB23" s="99">
        <v>54</v>
      </c>
      <c r="AC23" s="99" t="str">
        <f t="shared" si="13"/>
        <v>C</v>
      </c>
      <c r="AD23" s="99">
        <v>60</v>
      </c>
      <c r="AE23" s="99" t="str">
        <f t="shared" si="14"/>
        <v>C</v>
      </c>
      <c r="AF23" s="100">
        <f t="shared" si="15"/>
        <v>601</v>
      </c>
      <c r="AG23" s="101">
        <f t="shared" si="20"/>
        <v>50.0833333333333</v>
      </c>
      <c r="AH23" s="100">
        <f t="shared" si="16"/>
        <v>9</v>
      </c>
      <c r="AI23" s="36">
        <f t="shared" si="17"/>
        <v>0</v>
      </c>
      <c r="AJ23" s="36">
        <f t="shared" si="0"/>
        <v>2</v>
      </c>
      <c r="AK23" s="36">
        <f t="shared" si="1"/>
        <v>3</v>
      </c>
      <c r="AL23" s="36">
        <f t="shared" si="2"/>
        <v>4</v>
      </c>
      <c r="AM23" s="36">
        <f t="shared" si="18"/>
        <v>3</v>
      </c>
      <c r="AN23" s="37">
        <f t="shared" si="19"/>
        <v>0</v>
      </c>
    </row>
    <row r="24" s="2" customFormat="1" ht="14.65" customHeight="1" spans="1:40">
      <c r="A24" s="24">
        <v>18</v>
      </c>
      <c r="B24" s="320" t="s">
        <v>48</v>
      </c>
      <c r="C24" s="236" t="s">
        <v>31</v>
      </c>
      <c r="D24" s="41">
        <v>68</v>
      </c>
      <c r="E24" s="29" t="str">
        <f t="shared" si="3"/>
        <v>B</v>
      </c>
      <c r="F24" s="41">
        <v>88</v>
      </c>
      <c r="G24" s="49" t="str">
        <f t="shared" si="4"/>
        <v>A</v>
      </c>
      <c r="H24" s="41">
        <v>54</v>
      </c>
      <c r="I24" s="41" t="str">
        <f t="shared" si="5"/>
        <v>C</v>
      </c>
      <c r="J24" s="41">
        <v>66</v>
      </c>
      <c r="K24" s="41" t="str">
        <f t="shared" si="6"/>
        <v>B</v>
      </c>
      <c r="L24" s="49">
        <v>88</v>
      </c>
      <c r="M24" s="41" t="str">
        <f t="shared" si="7"/>
        <v>A</v>
      </c>
      <c r="N24" s="49">
        <v>63</v>
      </c>
      <c r="O24" s="293" t="str">
        <f t="shared" si="8"/>
        <v>C</v>
      </c>
      <c r="P24" s="43">
        <v>87</v>
      </c>
      <c r="Q24" s="43" t="str">
        <f t="shared" si="9"/>
        <v>A</v>
      </c>
      <c r="R24" s="43">
        <v>63</v>
      </c>
      <c r="S24" s="43" t="str">
        <f t="shared" si="10"/>
        <v>C</v>
      </c>
      <c r="T24" s="43">
        <v>98</v>
      </c>
      <c r="U24" s="43" t="str">
        <f t="shared" si="11"/>
        <v>A</v>
      </c>
      <c r="V24" s="44"/>
      <c r="W24" s="44"/>
      <c r="X24" s="44">
        <v>92</v>
      </c>
      <c r="Y24" s="44" t="str">
        <f t="shared" si="21"/>
        <v>A</v>
      </c>
      <c r="Z24" s="44"/>
      <c r="AA24" s="44"/>
      <c r="AB24" s="99">
        <v>57</v>
      </c>
      <c r="AC24" s="99" t="str">
        <f t="shared" si="13"/>
        <v>C</v>
      </c>
      <c r="AD24" s="99">
        <v>60</v>
      </c>
      <c r="AE24" s="99" t="str">
        <f t="shared" si="14"/>
        <v>C</v>
      </c>
      <c r="AF24" s="100">
        <f t="shared" si="15"/>
        <v>884</v>
      </c>
      <c r="AG24" s="101">
        <f t="shared" si="20"/>
        <v>73.6666666666667</v>
      </c>
      <c r="AH24" s="100">
        <f t="shared" si="16"/>
        <v>1</v>
      </c>
      <c r="AI24" s="36">
        <f t="shared" si="17"/>
        <v>5</v>
      </c>
      <c r="AJ24" s="36">
        <f t="shared" si="0"/>
        <v>2</v>
      </c>
      <c r="AK24" s="36">
        <f t="shared" si="1"/>
        <v>5</v>
      </c>
      <c r="AL24" s="36">
        <f t="shared" si="2"/>
        <v>0</v>
      </c>
      <c r="AM24" s="36">
        <f t="shared" si="18"/>
        <v>0</v>
      </c>
      <c r="AN24" s="37">
        <f t="shared" si="19"/>
        <v>0</v>
      </c>
    </row>
    <row r="25" s="2" customFormat="1" ht="14.65" customHeight="1" spans="1:40">
      <c r="A25" s="39">
        <v>19</v>
      </c>
      <c r="B25" s="320" t="s">
        <v>49</v>
      </c>
      <c r="C25" s="236" t="s">
        <v>31</v>
      </c>
      <c r="D25" s="41">
        <v>57</v>
      </c>
      <c r="E25" s="29" t="str">
        <f t="shared" si="3"/>
        <v>C</v>
      </c>
      <c r="F25" s="41">
        <v>38</v>
      </c>
      <c r="G25" s="49" t="str">
        <f t="shared" si="4"/>
        <v>W</v>
      </c>
      <c r="H25" s="41">
        <v>47</v>
      </c>
      <c r="I25" s="41" t="str">
        <f t="shared" si="5"/>
        <v>S</v>
      </c>
      <c r="J25" s="41">
        <v>77</v>
      </c>
      <c r="K25" s="41" t="str">
        <f t="shared" si="6"/>
        <v>A</v>
      </c>
      <c r="L25" s="41">
        <v>77</v>
      </c>
      <c r="M25" s="41" t="str">
        <f t="shared" si="7"/>
        <v>A</v>
      </c>
      <c r="N25" s="49">
        <v>40</v>
      </c>
      <c r="O25" s="293" t="str">
        <f t="shared" si="8"/>
        <v>S</v>
      </c>
      <c r="P25" s="309">
        <v>68</v>
      </c>
      <c r="Q25" s="43" t="str">
        <f t="shared" si="9"/>
        <v>B</v>
      </c>
      <c r="R25" s="43">
        <v>53</v>
      </c>
      <c r="S25" s="43" t="str">
        <f t="shared" si="10"/>
        <v>C</v>
      </c>
      <c r="T25" s="43">
        <v>38</v>
      </c>
      <c r="U25" s="43" t="str">
        <f t="shared" si="11"/>
        <v>W</v>
      </c>
      <c r="V25" s="44"/>
      <c r="W25" s="44"/>
      <c r="X25" s="44">
        <v>71</v>
      </c>
      <c r="Y25" s="44" t="str">
        <f t="shared" si="21"/>
        <v>B</v>
      </c>
      <c r="Z25" s="44"/>
      <c r="AA25" s="44"/>
      <c r="AB25" s="99">
        <v>65</v>
      </c>
      <c r="AC25" s="99" t="str">
        <f t="shared" si="13"/>
        <v>B</v>
      </c>
      <c r="AD25" s="99">
        <v>82</v>
      </c>
      <c r="AE25" s="99" t="str">
        <f t="shared" si="14"/>
        <v>A</v>
      </c>
      <c r="AF25" s="100">
        <f t="shared" si="15"/>
        <v>713</v>
      </c>
      <c r="AG25" s="101">
        <f t="shared" si="20"/>
        <v>59.4166666666667</v>
      </c>
      <c r="AH25" s="100">
        <f t="shared" si="16"/>
        <v>6</v>
      </c>
      <c r="AI25" s="36">
        <f t="shared" si="17"/>
        <v>3</v>
      </c>
      <c r="AJ25" s="36">
        <f t="shared" si="0"/>
        <v>3</v>
      </c>
      <c r="AK25" s="36">
        <f t="shared" si="1"/>
        <v>2</v>
      </c>
      <c r="AL25" s="36">
        <f t="shared" si="2"/>
        <v>2</v>
      </c>
      <c r="AM25" s="36">
        <f t="shared" si="18"/>
        <v>2</v>
      </c>
      <c r="AN25" s="37">
        <f t="shared" si="19"/>
        <v>0</v>
      </c>
    </row>
    <row r="26" s="2" customFormat="1" ht="14.65" customHeight="1" spans="1:40">
      <c r="A26" s="24">
        <v>5</v>
      </c>
      <c r="B26" s="320" t="s">
        <v>50</v>
      </c>
      <c r="C26" s="236" t="s">
        <v>31</v>
      </c>
      <c r="D26" s="41">
        <v>23</v>
      </c>
      <c r="E26" s="29" t="str">
        <f t="shared" si="3"/>
        <v>W</v>
      </c>
      <c r="F26" s="41">
        <v>25</v>
      </c>
      <c r="G26" s="49" t="str">
        <f t="shared" si="4"/>
        <v>W</v>
      </c>
      <c r="H26" s="41">
        <v>18</v>
      </c>
      <c r="I26" s="41" t="str">
        <f t="shared" si="5"/>
        <v>W</v>
      </c>
      <c r="J26" s="41">
        <v>22</v>
      </c>
      <c r="K26" s="41" t="str">
        <f t="shared" si="6"/>
        <v>W</v>
      </c>
      <c r="L26" s="41">
        <v>32</v>
      </c>
      <c r="M26" s="41" t="str">
        <f t="shared" si="7"/>
        <v>W</v>
      </c>
      <c r="N26" s="49">
        <v>32</v>
      </c>
      <c r="O26" s="293" t="str">
        <f t="shared" si="8"/>
        <v>W</v>
      </c>
      <c r="P26" s="43">
        <v>33</v>
      </c>
      <c r="Q26" s="43" t="str">
        <f t="shared" si="9"/>
        <v>W</v>
      </c>
      <c r="R26" s="43">
        <v>15</v>
      </c>
      <c r="S26" s="43" t="str">
        <f t="shared" si="10"/>
        <v>W</v>
      </c>
      <c r="T26" s="43">
        <v>19</v>
      </c>
      <c r="U26" s="43" t="str">
        <f t="shared" si="11"/>
        <v>W</v>
      </c>
      <c r="V26" s="44"/>
      <c r="W26" s="44"/>
      <c r="X26" s="44">
        <v>53</v>
      </c>
      <c r="Y26" s="44" t="str">
        <f t="shared" si="21"/>
        <v>C</v>
      </c>
      <c r="Z26" s="44"/>
      <c r="AA26" s="44"/>
      <c r="AB26" s="99">
        <v>37</v>
      </c>
      <c r="AC26" s="99" t="str">
        <f t="shared" si="13"/>
        <v>W</v>
      </c>
      <c r="AD26" s="99">
        <v>82</v>
      </c>
      <c r="AE26" s="99" t="str">
        <f t="shared" si="14"/>
        <v>A</v>
      </c>
      <c r="AF26" s="100">
        <f t="shared" si="15"/>
        <v>391</v>
      </c>
      <c r="AG26" s="101">
        <f t="shared" si="20"/>
        <v>32.5833333333333</v>
      </c>
      <c r="AH26" s="100">
        <f t="shared" si="16"/>
        <v>22</v>
      </c>
      <c r="AI26" s="36">
        <f t="shared" si="17"/>
        <v>1</v>
      </c>
      <c r="AJ26" s="36">
        <f t="shared" si="0"/>
        <v>0</v>
      </c>
      <c r="AK26" s="36">
        <f t="shared" si="1"/>
        <v>1</v>
      </c>
      <c r="AL26" s="36">
        <f t="shared" si="2"/>
        <v>0</v>
      </c>
      <c r="AM26" s="36">
        <f t="shared" si="18"/>
        <v>10</v>
      </c>
      <c r="AN26" s="37">
        <f t="shared" si="19"/>
        <v>0</v>
      </c>
    </row>
    <row r="27" s="2" customFormat="1" ht="14.65" customHeight="1" spans="1:40">
      <c r="A27" s="39">
        <v>21</v>
      </c>
      <c r="B27" s="320" t="s">
        <v>51</v>
      </c>
      <c r="C27" s="236" t="s">
        <v>31</v>
      </c>
      <c r="D27" s="41">
        <v>48</v>
      </c>
      <c r="E27" s="29" t="str">
        <f t="shared" si="3"/>
        <v>S</v>
      </c>
      <c r="F27" s="41">
        <v>30</v>
      </c>
      <c r="G27" s="49" t="str">
        <f t="shared" si="4"/>
        <v>W</v>
      </c>
      <c r="H27" s="41">
        <v>45</v>
      </c>
      <c r="I27" s="41" t="str">
        <f t="shared" si="5"/>
        <v>S</v>
      </c>
      <c r="J27" s="41">
        <v>37</v>
      </c>
      <c r="K27" s="41" t="str">
        <f t="shared" si="6"/>
        <v>W</v>
      </c>
      <c r="L27" s="41">
        <v>52</v>
      </c>
      <c r="M27" s="41" t="str">
        <f t="shared" si="7"/>
        <v>C</v>
      </c>
      <c r="N27" s="49">
        <v>47</v>
      </c>
      <c r="O27" s="293" t="str">
        <f t="shared" si="8"/>
        <v>S</v>
      </c>
      <c r="P27" s="43">
        <v>62</v>
      </c>
      <c r="Q27" s="43" t="str">
        <f t="shared" si="9"/>
        <v>C</v>
      </c>
      <c r="R27" s="43">
        <v>44</v>
      </c>
      <c r="S27" s="43" t="str">
        <f t="shared" si="10"/>
        <v>S</v>
      </c>
      <c r="T27" s="43">
        <v>41</v>
      </c>
      <c r="U27" s="43" t="str">
        <f t="shared" si="11"/>
        <v>S</v>
      </c>
      <c r="V27" s="44"/>
      <c r="W27" s="44"/>
      <c r="X27" s="44">
        <v>77</v>
      </c>
      <c r="Y27" s="44" t="str">
        <f t="shared" si="21"/>
        <v>A</v>
      </c>
      <c r="Z27" s="44"/>
      <c r="AA27" s="44"/>
      <c r="AB27" s="99">
        <v>33</v>
      </c>
      <c r="AC27" s="99" t="str">
        <f t="shared" si="13"/>
        <v>W</v>
      </c>
      <c r="AD27" s="99">
        <v>60</v>
      </c>
      <c r="AE27" s="99" t="str">
        <f t="shared" si="14"/>
        <v>C</v>
      </c>
      <c r="AF27" s="100">
        <f t="shared" si="15"/>
        <v>576</v>
      </c>
      <c r="AG27" s="101">
        <f t="shared" si="20"/>
        <v>48</v>
      </c>
      <c r="AH27" s="100">
        <f t="shared" si="16"/>
        <v>11</v>
      </c>
      <c r="AI27" s="36">
        <f t="shared" si="17"/>
        <v>1</v>
      </c>
      <c r="AJ27" s="36">
        <f t="shared" si="0"/>
        <v>0</v>
      </c>
      <c r="AK27" s="36">
        <f t="shared" si="1"/>
        <v>3</v>
      </c>
      <c r="AL27" s="36">
        <f t="shared" si="2"/>
        <v>5</v>
      </c>
      <c r="AM27" s="36">
        <f t="shared" si="18"/>
        <v>3</v>
      </c>
      <c r="AN27" s="37">
        <f t="shared" si="19"/>
        <v>0</v>
      </c>
    </row>
    <row r="28" s="2" customFormat="1" ht="14.65" customHeight="1" spans="1:40">
      <c r="A28" s="24">
        <v>22</v>
      </c>
      <c r="B28" s="320" t="s">
        <v>52</v>
      </c>
      <c r="C28" s="236" t="s">
        <v>31</v>
      </c>
      <c r="D28" s="41">
        <v>53</v>
      </c>
      <c r="E28" s="29" t="str">
        <f t="shared" si="3"/>
        <v>C</v>
      </c>
      <c r="F28" s="41">
        <v>34</v>
      </c>
      <c r="G28" s="49" t="str">
        <f t="shared" si="4"/>
        <v>W</v>
      </c>
      <c r="H28" s="41">
        <v>41</v>
      </c>
      <c r="I28" s="41" t="str">
        <f t="shared" si="5"/>
        <v>S</v>
      </c>
      <c r="J28" s="41">
        <v>39</v>
      </c>
      <c r="K28" s="41" t="str">
        <f t="shared" si="6"/>
        <v>W</v>
      </c>
      <c r="L28" s="41">
        <v>59</v>
      </c>
      <c r="M28" s="41" t="str">
        <f t="shared" si="7"/>
        <v>C</v>
      </c>
      <c r="N28" s="49">
        <v>34</v>
      </c>
      <c r="O28" s="293" t="str">
        <f t="shared" si="8"/>
        <v>W</v>
      </c>
      <c r="P28" s="43">
        <v>59</v>
      </c>
      <c r="Q28" s="43" t="str">
        <f t="shared" si="9"/>
        <v>C</v>
      </c>
      <c r="R28" s="43">
        <v>39</v>
      </c>
      <c r="S28" s="43" t="str">
        <f t="shared" si="10"/>
        <v>W</v>
      </c>
      <c r="T28" s="43">
        <v>43</v>
      </c>
      <c r="U28" s="43" t="str">
        <f t="shared" si="11"/>
        <v>S</v>
      </c>
      <c r="V28" s="44"/>
      <c r="W28" s="44"/>
      <c r="X28" s="44">
        <v>74</v>
      </c>
      <c r="Y28" s="44" t="str">
        <f t="shared" si="21"/>
        <v>B</v>
      </c>
      <c r="Z28" s="44"/>
      <c r="AA28" s="44"/>
      <c r="AB28" s="99">
        <v>49</v>
      </c>
      <c r="AC28" s="99" t="str">
        <f t="shared" si="13"/>
        <v>S</v>
      </c>
      <c r="AD28" s="99">
        <v>65</v>
      </c>
      <c r="AE28" s="99" t="str">
        <f t="shared" si="14"/>
        <v>B</v>
      </c>
      <c r="AF28" s="100">
        <f t="shared" si="15"/>
        <v>589</v>
      </c>
      <c r="AG28" s="101">
        <f t="shared" si="20"/>
        <v>49.0833333333333</v>
      </c>
      <c r="AH28" s="100">
        <f t="shared" si="16"/>
        <v>10</v>
      </c>
      <c r="AI28" s="36">
        <f t="shared" si="17"/>
        <v>0</v>
      </c>
      <c r="AJ28" s="36">
        <f t="shared" si="0"/>
        <v>2</v>
      </c>
      <c r="AK28" s="36">
        <f t="shared" si="1"/>
        <v>3</v>
      </c>
      <c r="AL28" s="36">
        <f t="shared" si="2"/>
        <v>3</v>
      </c>
      <c r="AM28" s="36">
        <f t="shared" si="18"/>
        <v>4</v>
      </c>
      <c r="AN28" s="37">
        <f t="shared" si="19"/>
        <v>0</v>
      </c>
    </row>
    <row r="29" s="2" customFormat="1" ht="14.65" customHeight="1" spans="1:40">
      <c r="A29" s="39">
        <v>23</v>
      </c>
      <c r="B29" s="320" t="s">
        <v>53</v>
      </c>
      <c r="C29" s="236" t="s">
        <v>31</v>
      </c>
      <c r="D29" s="41">
        <v>76</v>
      </c>
      <c r="E29" s="29" t="str">
        <f t="shared" si="3"/>
        <v>A</v>
      </c>
      <c r="F29" s="41">
        <v>62</v>
      </c>
      <c r="G29" s="49" t="str">
        <f t="shared" si="4"/>
        <v>C</v>
      </c>
      <c r="H29" s="41">
        <v>56</v>
      </c>
      <c r="I29" s="41" t="str">
        <f t="shared" si="5"/>
        <v>C</v>
      </c>
      <c r="J29" s="41">
        <v>73</v>
      </c>
      <c r="K29" s="41" t="str">
        <f t="shared" si="6"/>
        <v>B</v>
      </c>
      <c r="L29" s="41">
        <v>66</v>
      </c>
      <c r="M29" s="41" t="str">
        <f t="shared" si="7"/>
        <v>B</v>
      </c>
      <c r="N29" s="49">
        <v>78</v>
      </c>
      <c r="O29" s="293" t="str">
        <f t="shared" si="8"/>
        <v>A</v>
      </c>
      <c r="P29" s="43">
        <v>73</v>
      </c>
      <c r="Q29" s="43" t="str">
        <f t="shared" si="9"/>
        <v>B</v>
      </c>
      <c r="R29" s="43">
        <v>61</v>
      </c>
      <c r="S29" s="43" t="str">
        <f t="shared" si="10"/>
        <v>C</v>
      </c>
      <c r="T29" s="43">
        <v>58</v>
      </c>
      <c r="U29" s="43" t="str">
        <f t="shared" si="11"/>
        <v>C</v>
      </c>
      <c r="V29" s="44">
        <v>80</v>
      </c>
      <c r="W29" s="44" t="str">
        <f t="shared" si="22"/>
        <v>A</v>
      </c>
      <c r="X29" s="44"/>
      <c r="Y29" s="44"/>
      <c r="Z29" s="86"/>
      <c r="AA29" s="44"/>
      <c r="AB29" s="99">
        <v>65</v>
      </c>
      <c r="AC29" s="99" t="str">
        <f t="shared" si="13"/>
        <v>B</v>
      </c>
      <c r="AD29" s="99">
        <v>88</v>
      </c>
      <c r="AE29" s="99" t="str">
        <f t="shared" si="14"/>
        <v>A</v>
      </c>
      <c r="AF29" s="100">
        <f t="shared" si="15"/>
        <v>836</v>
      </c>
      <c r="AG29" s="101">
        <f t="shared" si="20"/>
        <v>69.6666666666667</v>
      </c>
      <c r="AH29" s="100">
        <f t="shared" si="16"/>
        <v>3</v>
      </c>
      <c r="AI29" s="36">
        <f t="shared" si="17"/>
        <v>4</v>
      </c>
      <c r="AJ29" s="36">
        <f t="shared" si="0"/>
        <v>4</v>
      </c>
      <c r="AK29" s="36">
        <f t="shared" si="1"/>
        <v>4</v>
      </c>
      <c r="AL29" s="36">
        <f t="shared" si="2"/>
        <v>0</v>
      </c>
      <c r="AM29" s="36">
        <f t="shared" si="18"/>
        <v>0</v>
      </c>
      <c r="AN29" s="37">
        <f t="shared" si="19"/>
        <v>0</v>
      </c>
    </row>
    <row r="30" s="2" customFormat="1" ht="14.65" customHeight="1" spans="1:40">
      <c r="A30" s="24">
        <v>24</v>
      </c>
      <c r="B30" s="320" t="s">
        <v>54</v>
      </c>
      <c r="C30" s="236" t="s">
        <v>31</v>
      </c>
      <c r="D30" s="41">
        <v>18</v>
      </c>
      <c r="E30" s="29" t="str">
        <f t="shared" si="3"/>
        <v>W</v>
      </c>
      <c r="F30" s="41">
        <v>22</v>
      </c>
      <c r="G30" s="49" t="str">
        <f t="shared" si="4"/>
        <v>W</v>
      </c>
      <c r="H30" s="41">
        <v>31</v>
      </c>
      <c r="I30" s="41" t="str">
        <f t="shared" si="5"/>
        <v>W</v>
      </c>
      <c r="J30" s="41">
        <v>30</v>
      </c>
      <c r="K30" s="41" t="str">
        <f t="shared" si="6"/>
        <v>W</v>
      </c>
      <c r="L30" s="46" t="s">
        <v>29</v>
      </c>
      <c r="M30" s="46" t="s">
        <v>29</v>
      </c>
      <c r="N30" s="49">
        <v>28</v>
      </c>
      <c r="O30" s="293" t="str">
        <f t="shared" si="8"/>
        <v>W</v>
      </c>
      <c r="P30" s="43">
        <v>43</v>
      </c>
      <c r="Q30" s="43" t="str">
        <f t="shared" si="9"/>
        <v>S</v>
      </c>
      <c r="R30" s="43">
        <v>31</v>
      </c>
      <c r="S30" s="43" t="str">
        <f t="shared" si="10"/>
        <v>W</v>
      </c>
      <c r="T30" s="43">
        <v>30</v>
      </c>
      <c r="U30" s="43" t="str">
        <f t="shared" si="11"/>
        <v>W</v>
      </c>
      <c r="V30" s="44"/>
      <c r="W30" s="44"/>
      <c r="X30" s="44">
        <v>72</v>
      </c>
      <c r="Y30" s="44" t="str">
        <f t="shared" si="21"/>
        <v>B</v>
      </c>
      <c r="Z30" s="44"/>
      <c r="AA30" s="44"/>
      <c r="AB30" s="99">
        <v>44</v>
      </c>
      <c r="AC30" s="99" t="str">
        <f t="shared" si="13"/>
        <v>S</v>
      </c>
      <c r="AD30" s="99">
        <v>40</v>
      </c>
      <c r="AE30" s="99" t="str">
        <f t="shared" si="14"/>
        <v>S</v>
      </c>
      <c r="AF30" s="100">
        <f t="shared" si="15"/>
        <v>389</v>
      </c>
      <c r="AG30" s="101">
        <f t="shared" si="20"/>
        <v>32.4166666666667</v>
      </c>
      <c r="AH30" s="100">
        <f t="shared" si="16"/>
        <v>23</v>
      </c>
      <c r="AI30" s="36">
        <f t="shared" si="17"/>
        <v>0</v>
      </c>
      <c r="AJ30" s="36">
        <f t="shared" si="0"/>
        <v>1</v>
      </c>
      <c r="AK30" s="36">
        <f t="shared" si="1"/>
        <v>0</v>
      </c>
      <c r="AL30" s="36">
        <f t="shared" si="2"/>
        <v>3</v>
      </c>
      <c r="AM30" s="36">
        <f t="shared" si="18"/>
        <v>7</v>
      </c>
      <c r="AN30" s="37">
        <f t="shared" si="19"/>
        <v>1</v>
      </c>
    </row>
    <row r="31" s="2" customFormat="1" ht="14.65" customHeight="1" spans="1:40">
      <c r="A31" s="39">
        <v>25</v>
      </c>
      <c r="B31" s="320" t="s">
        <v>55</v>
      </c>
      <c r="C31" s="236" t="s">
        <v>31</v>
      </c>
      <c r="D31" s="41">
        <v>51</v>
      </c>
      <c r="E31" s="29" t="str">
        <f t="shared" si="3"/>
        <v>C</v>
      </c>
      <c r="F31" s="41">
        <v>17</v>
      </c>
      <c r="G31" s="49" t="str">
        <f t="shared" si="4"/>
        <v>W</v>
      </c>
      <c r="H31" s="41">
        <v>28</v>
      </c>
      <c r="I31" s="41" t="str">
        <f t="shared" si="5"/>
        <v>W</v>
      </c>
      <c r="J31" s="41">
        <v>25</v>
      </c>
      <c r="K31" s="41" t="str">
        <f t="shared" si="6"/>
        <v>W</v>
      </c>
      <c r="L31" s="41">
        <v>31</v>
      </c>
      <c r="M31" s="41" t="str">
        <f t="shared" si="7"/>
        <v>W</v>
      </c>
      <c r="N31" s="49">
        <v>35</v>
      </c>
      <c r="O31" s="293" t="str">
        <f t="shared" si="8"/>
        <v>W</v>
      </c>
      <c r="P31" s="43">
        <v>42</v>
      </c>
      <c r="Q31" s="43" t="str">
        <f t="shared" si="9"/>
        <v>S</v>
      </c>
      <c r="R31" s="43">
        <v>27</v>
      </c>
      <c r="S31" s="43" t="str">
        <f t="shared" si="10"/>
        <v>W</v>
      </c>
      <c r="T31" s="43">
        <v>42</v>
      </c>
      <c r="U31" s="43" t="str">
        <f t="shared" si="11"/>
        <v>S</v>
      </c>
      <c r="V31" s="44"/>
      <c r="W31" s="44"/>
      <c r="X31" s="44">
        <v>72</v>
      </c>
      <c r="Y31" s="44" t="str">
        <f t="shared" si="21"/>
        <v>B</v>
      </c>
      <c r="Z31" s="44"/>
      <c r="AA31" s="44"/>
      <c r="AB31" s="99">
        <v>57</v>
      </c>
      <c r="AC31" s="99" t="str">
        <f t="shared" si="13"/>
        <v>C</v>
      </c>
      <c r="AD31" s="99">
        <v>82</v>
      </c>
      <c r="AE31" s="99" t="str">
        <f t="shared" si="14"/>
        <v>A</v>
      </c>
      <c r="AF31" s="100">
        <f t="shared" si="15"/>
        <v>509</v>
      </c>
      <c r="AG31" s="101">
        <f t="shared" si="20"/>
        <v>42.4166666666667</v>
      </c>
      <c r="AH31" s="100">
        <f t="shared" si="16"/>
        <v>16</v>
      </c>
      <c r="AI31" s="36">
        <f t="shared" si="17"/>
        <v>1</v>
      </c>
      <c r="AJ31" s="36">
        <f t="shared" si="0"/>
        <v>1</v>
      </c>
      <c r="AK31" s="36">
        <f t="shared" si="1"/>
        <v>2</v>
      </c>
      <c r="AL31" s="36">
        <f t="shared" si="2"/>
        <v>2</v>
      </c>
      <c r="AM31" s="36">
        <f t="shared" si="18"/>
        <v>6</v>
      </c>
      <c r="AN31" s="37">
        <f t="shared" si="19"/>
        <v>0</v>
      </c>
    </row>
    <row r="32" s="2" customFormat="1" ht="14.65" customHeight="1" spans="1:40">
      <c r="A32" s="24">
        <v>26</v>
      </c>
      <c r="B32" s="320" t="s">
        <v>56</v>
      </c>
      <c r="C32" s="236" t="s">
        <v>31</v>
      </c>
      <c r="D32" s="41">
        <v>58</v>
      </c>
      <c r="E32" s="29" t="str">
        <f t="shared" si="3"/>
        <v>C</v>
      </c>
      <c r="F32" s="41">
        <v>63</v>
      </c>
      <c r="G32" s="49" t="str">
        <f t="shared" si="4"/>
        <v>C</v>
      </c>
      <c r="H32" s="41">
        <v>47</v>
      </c>
      <c r="I32" s="41" t="str">
        <f t="shared" si="5"/>
        <v>S</v>
      </c>
      <c r="J32" s="41">
        <v>46</v>
      </c>
      <c r="K32" s="41" t="str">
        <f t="shared" si="6"/>
        <v>S</v>
      </c>
      <c r="L32" s="41">
        <v>51</v>
      </c>
      <c r="M32" s="41" t="str">
        <f t="shared" si="7"/>
        <v>C</v>
      </c>
      <c r="N32" s="49">
        <v>40</v>
      </c>
      <c r="O32" s="293" t="str">
        <f t="shared" si="8"/>
        <v>S</v>
      </c>
      <c r="P32" s="43">
        <v>65</v>
      </c>
      <c r="Q32" s="43" t="str">
        <f t="shared" si="9"/>
        <v>B</v>
      </c>
      <c r="R32" s="43">
        <v>34</v>
      </c>
      <c r="S32" s="43" t="str">
        <f t="shared" si="10"/>
        <v>W</v>
      </c>
      <c r="T32" s="43">
        <v>51</v>
      </c>
      <c r="U32" s="43" t="str">
        <f t="shared" si="11"/>
        <v>C</v>
      </c>
      <c r="V32" s="44"/>
      <c r="W32" s="44"/>
      <c r="X32" s="44">
        <v>81</v>
      </c>
      <c r="Y32" s="44" t="str">
        <f t="shared" si="21"/>
        <v>A</v>
      </c>
      <c r="Z32" s="44"/>
      <c r="AA32" s="44"/>
      <c r="AB32" s="99">
        <v>48</v>
      </c>
      <c r="AC32" s="99" t="str">
        <f t="shared" si="13"/>
        <v>S</v>
      </c>
      <c r="AD32" s="99">
        <v>80</v>
      </c>
      <c r="AE32" s="99" t="str">
        <f t="shared" si="14"/>
        <v>A</v>
      </c>
      <c r="AF32" s="100">
        <f t="shared" si="15"/>
        <v>664</v>
      </c>
      <c r="AG32" s="101">
        <f t="shared" si="20"/>
        <v>55.3333333333333</v>
      </c>
      <c r="AH32" s="100">
        <f t="shared" si="16"/>
        <v>7</v>
      </c>
      <c r="AI32" s="36">
        <f t="shared" si="17"/>
        <v>2</v>
      </c>
      <c r="AJ32" s="36">
        <f t="shared" si="0"/>
        <v>1</v>
      </c>
      <c r="AK32" s="36">
        <f t="shared" si="1"/>
        <v>4</v>
      </c>
      <c r="AL32" s="36">
        <f t="shared" si="2"/>
        <v>4</v>
      </c>
      <c r="AM32" s="36">
        <f t="shared" si="18"/>
        <v>1</v>
      </c>
      <c r="AN32" s="37">
        <f t="shared" si="19"/>
        <v>0</v>
      </c>
    </row>
    <row r="33" s="2" customFormat="1" ht="14.65" customHeight="1" spans="1:40">
      <c r="A33" s="39">
        <v>27</v>
      </c>
      <c r="B33" s="320" t="s">
        <v>57</v>
      </c>
      <c r="C33" s="236" t="s">
        <v>31</v>
      </c>
      <c r="D33" s="41">
        <v>59</v>
      </c>
      <c r="E33" s="29" t="str">
        <f t="shared" si="3"/>
        <v>C</v>
      </c>
      <c r="F33" s="49">
        <v>82</v>
      </c>
      <c r="G33" s="49" t="str">
        <f t="shared" si="4"/>
        <v>A</v>
      </c>
      <c r="H33" s="41">
        <v>56</v>
      </c>
      <c r="I33" s="41" t="str">
        <f t="shared" si="5"/>
        <v>C</v>
      </c>
      <c r="J33" s="41">
        <v>58</v>
      </c>
      <c r="K33" s="41" t="str">
        <f t="shared" si="6"/>
        <v>C</v>
      </c>
      <c r="L33" s="41">
        <v>68</v>
      </c>
      <c r="M33" s="41" t="str">
        <f t="shared" si="7"/>
        <v>B</v>
      </c>
      <c r="N33" s="49">
        <v>79</v>
      </c>
      <c r="O33" s="293" t="str">
        <f t="shared" si="8"/>
        <v>A</v>
      </c>
      <c r="P33" s="43">
        <v>78</v>
      </c>
      <c r="Q33" s="43" t="str">
        <f t="shared" si="9"/>
        <v>A</v>
      </c>
      <c r="R33" s="43">
        <v>64</v>
      </c>
      <c r="S33" s="43" t="str">
        <f t="shared" si="10"/>
        <v>C</v>
      </c>
      <c r="T33" s="43">
        <v>82</v>
      </c>
      <c r="U33" s="43" t="str">
        <f t="shared" si="11"/>
        <v>A</v>
      </c>
      <c r="V33" s="44"/>
      <c r="W33" s="44"/>
      <c r="X33" s="44">
        <v>84</v>
      </c>
      <c r="Y33" s="44" t="str">
        <f t="shared" si="21"/>
        <v>A</v>
      </c>
      <c r="Z33" s="44"/>
      <c r="AA33" s="44"/>
      <c r="AB33" s="99">
        <v>51</v>
      </c>
      <c r="AC33" s="99" t="str">
        <f t="shared" si="13"/>
        <v>C</v>
      </c>
      <c r="AD33" s="99">
        <v>62</v>
      </c>
      <c r="AE33" s="99" t="str">
        <f t="shared" si="14"/>
        <v>C</v>
      </c>
      <c r="AF33" s="100">
        <f t="shared" si="15"/>
        <v>823</v>
      </c>
      <c r="AG33" s="101">
        <f t="shared" si="20"/>
        <v>68.5833333333333</v>
      </c>
      <c r="AH33" s="100">
        <f t="shared" si="16"/>
        <v>4</v>
      </c>
      <c r="AI33" s="36">
        <f t="shared" si="17"/>
        <v>5</v>
      </c>
      <c r="AJ33" s="36">
        <f t="shared" si="0"/>
        <v>1</v>
      </c>
      <c r="AK33" s="36">
        <f t="shared" si="1"/>
        <v>6</v>
      </c>
      <c r="AL33" s="36">
        <f t="shared" si="2"/>
        <v>0</v>
      </c>
      <c r="AM33" s="36">
        <f t="shared" si="18"/>
        <v>0</v>
      </c>
      <c r="AN33" s="37">
        <f t="shared" si="19"/>
        <v>0</v>
      </c>
    </row>
    <row r="34" s="2" customFormat="1" ht="14.65" customHeight="1" spans="1:40">
      <c r="A34" s="24">
        <v>52</v>
      </c>
      <c r="B34" s="320" t="s">
        <v>58</v>
      </c>
      <c r="C34" s="236" t="s">
        <v>31</v>
      </c>
      <c r="D34" s="41">
        <v>39</v>
      </c>
      <c r="E34" s="29" t="str">
        <f t="shared" si="3"/>
        <v>W</v>
      </c>
      <c r="F34" s="41">
        <v>37</v>
      </c>
      <c r="G34" s="49" t="str">
        <f t="shared" si="4"/>
        <v>W</v>
      </c>
      <c r="H34" s="41">
        <v>30</v>
      </c>
      <c r="I34" s="41" t="str">
        <f t="shared" si="5"/>
        <v>W</v>
      </c>
      <c r="J34" s="41">
        <v>33</v>
      </c>
      <c r="K34" s="41" t="str">
        <f t="shared" si="6"/>
        <v>W</v>
      </c>
      <c r="L34" s="46" t="s">
        <v>29</v>
      </c>
      <c r="M34" s="46" t="s">
        <v>29</v>
      </c>
      <c r="N34" s="41">
        <v>36</v>
      </c>
      <c r="O34" s="293" t="str">
        <f t="shared" si="8"/>
        <v>W</v>
      </c>
      <c r="P34" s="43">
        <v>66</v>
      </c>
      <c r="Q34" s="43" t="str">
        <f t="shared" si="9"/>
        <v>B</v>
      </c>
      <c r="R34" s="46" t="s">
        <v>29</v>
      </c>
      <c r="S34" s="46" t="s">
        <v>29</v>
      </c>
      <c r="T34" s="43">
        <v>49</v>
      </c>
      <c r="U34" s="43" t="str">
        <f t="shared" si="11"/>
        <v>S</v>
      </c>
      <c r="V34" s="44"/>
      <c r="W34" s="44"/>
      <c r="X34" s="44">
        <v>69</v>
      </c>
      <c r="Y34" s="44" t="str">
        <f t="shared" si="21"/>
        <v>B</v>
      </c>
      <c r="Z34" s="44"/>
      <c r="AA34" s="44"/>
      <c r="AB34" s="304" t="s">
        <v>29</v>
      </c>
      <c r="AC34" s="304" t="s">
        <v>29</v>
      </c>
      <c r="AD34" s="99">
        <v>40</v>
      </c>
      <c r="AE34" s="99" t="str">
        <f t="shared" si="14"/>
        <v>S</v>
      </c>
      <c r="AF34" s="100">
        <f t="shared" si="15"/>
        <v>399</v>
      </c>
      <c r="AG34" s="101">
        <f t="shared" si="20"/>
        <v>33.25</v>
      </c>
      <c r="AH34" s="100">
        <f t="shared" si="16"/>
        <v>21</v>
      </c>
      <c r="AI34" s="36">
        <f t="shared" si="17"/>
        <v>0</v>
      </c>
      <c r="AJ34" s="36">
        <f t="shared" si="0"/>
        <v>2</v>
      </c>
      <c r="AK34" s="36">
        <f t="shared" si="1"/>
        <v>0</v>
      </c>
      <c r="AL34" s="36">
        <f t="shared" si="2"/>
        <v>2</v>
      </c>
      <c r="AM34" s="36">
        <f t="shared" si="18"/>
        <v>5</v>
      </c>
      <c r="AN34" s="37">
        <f t="shared" si="19"/>
        <v>3</v>
      </c>
    </row>
    <row r="35" s="2" customFormat="1" ht="14.65" customHeight="1" spans="1:40">
      <c r="A35" s="39">
        <v>29</v>
      </c>
      <c r="B35" s="320" t="s">
        <v>59</v>
      </c>
      <c r="C35" s="236" t="s">
        <v>31</v>
      </c>
      <c r="D35" s="49">
        <v>38</v>
      </c>
      <c r="E35" s="29" t="str">
        <f t="shared" si="3"/>
        <v>W</v>
      </c>
      <c r="F35" s="41">
        <v>21</v>
      </c>
      <c r="G35" s="49" t="str">
        <f t="shared" si="4"/>
        <v>W</v>
      </c>
      <c r="H35" s="41">
        <v>26</v>
      </c>
      <c r="I35" s="41" t="str">
        <f t="shared" si="5"/>
        <v>W</v>
      </c>
      <c r="J35" s="41">
        <v>50</v>
      </c>
      <c r="K35" s="41" t="str">
        <f t="shared" si="6"/>
        <v>C</v>
      </c>
      <c r="L35" s="41">
        <v>33</v>
      </c>
      <c r="M35" s="41" t="str">
        <f t="shared" si="7"/>
        <v>W</v>
      </c>
      <c r="N35" s="41">
        <v>40</v>
      </c>
      <c r="O35" s="293" t="str">
        <f t="shared" si="8"/>
        <v>S</v>
      </c>
      <c r="P35" s="43">
        <v>52</v>
      </c>
      <c r="Q35" s="43" t="str">
        <f t="shared" si="9"/>
        <v>C</v>
      </c>
      <c r="R35" s="43">
        <v>55</v>
      </c>
      <c r="S35" s="43" t="str">
        <f t="shared" si="10"/>
        <v>C</v>
      </c>
      <c r="T35" s="43">
        <v>46</v>
      </c>
      <c r="U35" s="43" t="str">
        <f t="shared" si="11"/>
        <v>S</v>
      </c>
      <c r="V35" s="44"/>
      <c r="W35" s="44"/>
      <c r="X35" s="44">
        <v>64</v>
      </c>
      <c r="Y35" s="44" t="str">
        <f t="shared" si="21"/>
        <v>C</v>
      </c>
      <c r="Z35" s="44"/>
      <c r="AA35" s="44"/>
      <c r="AB35" s="99">
        <v>35</v>
      </c>
      <c r="AC35" s="99" t="str">
        <f t="shared" si="13"/>
        <v>W</v>
      </c>
      <c r="AD35" s="99">
        <v>62</v>
      </c>
      <c r="AE35" s="99" t="str">
        <f t="shared" si="14"/>
        <v>C</v>
      </c>
      <c r="AF35" s="100">
        <f t="shared" si="15"/>
        <v>522</v>
      </c>
      <c r="AG35" s="101">
        <f t="shared" si="20"/>
        <v>43.5</v>
      </c>
      <c r="AH35" s="100">
        <f t="shared" si="16"/>
        <v>15</v>
      </c>
      <c r="AI35" s="36">
        <f t="shared" si="17"/>
        <v>0</v>
      </c>
      <c r="AJ35" s="36">
        <f t="shared" si="0"/>
        <v>0</v>
      </c>
      <c r="AK35" s="36">
        <f t="shared" si="1"/>
        <v>5</v>
      </c>
      <c r="AL35" s="36">
        <f t="shared" si="2"/>
        <v>2</v>
      </c>
      <c r="AM35" s="36">
        <f t="shared" si="18"/>
        <v>5</v>
      </c>
      <c r="AN35" s="37">
        <f t="shared" si="19"/>
        <v>0</v>
      </c>
    </row>
    <row r="36" s="2" customFormat="1" ht="14.65" customHeight="1" spans="1:40">
      <c r="A36" s="24">
        <v>30</v>
      </c>
      <c r="B36" s="320" t="s">
        <v>60</v>
      </c>
      <c r="C36" s="236" t="s">
        <v>31</v>
      </c>
      <c r="D36" s="41">
        <v>45</v>
      </c>
      <c r="E36" s="29" t="str">
        <f t="shared" si="3"/>
        <v>S</v>
      </c>
      <c r="F36" s="41">
        <v>16</v>
      </c>
      <c r="G36" s="49" t="str">
        <f t="shared" si="4"/>
        <v>W</v>
      </c>
      <c r="H36" s="41">
        <v>51</v>
      </c>
      <c r="I36" s="41" t="str">
        <f t="shared" si="5"/>
        <v>C</v>
      </c>
      <c r="J36" s="41">
        <v>16</v>
      </c>
      <c r="K36" s="41" t="str">
        <f t="shared" si="6"/>
        <v>W</v>
      </c>
      <c r="L36" s="41">
        <v>44</v>
      </c>
      <c r="M36" s="41" t="str">
        <f t="shared" si="7"/>
        <v>S</v>
      </c>
      <c r="N36" s="41">
        <v>52</v>
      </c>
      <c r="O36" s="293" t="str">
        <f t="shared" si="8"/>
        <v>C</v>
      </c>
      <c r="P36" s="43">
        <v>62</v>
      </c>
      <c r="Q36" s="43" t="str">
        <f t="shared" si="9"/>
        <v>C</v>
      </c>
      <c r="R36" s="43">
        <v>45</v>
      </c>
      <c r="S36" s="43" t="str">
        <f t="shared" si="10"/>
        <v>S</v>
      </c>
      <c r="T36" s="43">
        <v>26</v>
      </c>
      <c r="U36" s="43" t="str">
        <f t="shared" si="11"/>
        <v>W</v>
      </c>
      <c r="V36" s="44"/>
      <c r="W36" s="44"/>
      <c r="X36" s="44">
        <v>76</v>
      </c>
      <c r="Y36" s="44" t="str">
        <f t="shared" si="21"/>
        <v>A</v>
      </c>
      <c r="Z36" s="44"/>
      <c r="AA36" s="44"/>
      <c r="AB36" s="99">
        <v>58</v>
      </c>
      <c r="AC36" s="99" t="str">
        <f t="shared" si="13"/>
        <v>C</v>
      </c>
      <c r="AD36" s="99">
        <v>60</v>
      </c>
      <c r="AE36" s="99" t="str">
        <f t="shared" si="14"/>
        <v>C</v>
      </c>
      <c r="AF36" s="100">
        <f t="shared" si="15"/>
        <v>551</v>
      </c>
      <c r="AG36" s="101">
        <f t="shared" si="20"/>
        <v>45.9166666666667</v>
      </c>
      <c r="AH36" s="100">
        <f t="shared" si="16"/>
        <v>12</v>
      </c>
      <c r="AI36" s="36">
        <f t="shared" si="17"/>
        <v>1</v>
      </c>
      <c r="AJ36" s="36">
        <f t="shared" si="0"/>
        <v>0</v>
      </c>
      <c r="AK36" s="36">
        <f t="shared" si="1"/>
        <v>5</v>
      </c>
      <c r="AL36" s="36">
        <f t="shared" si="2"/>
        <v>3</v>
      </c>
      <c r="AM36" s="36">
        <f t="shared" si="18"/>
        <v>3</v>
      </c>
      <c r="AN36" s="37">
        <f t="shared" si="19"/>
        <v>0</v>
      </c>
    </row>
    <row r="37" s="2" customFormat="1" ht="14.65" customHeight="1" spans="1:40">
      <c r="A37" s="39">
        <v>31</v>
      </c>
      <c r="B37" s="320" t="s">
        <v>61</v>
      </c>
      <c r="C37" s="236" t="s">
        <v>31</v>
      </c>
      <c r="D37" s="49">
        <v>52</v>
      </c>
      <c r="E37" s="29" t="str">
        <f t="shared" si="3"/>
        <v>C</v>
      </c>
      <c r="F37" s="41">
        <v>73</v>
      </c>
      <c r="G37" s="49" t="str">
        <f t="shared" si="4"/>
        <v>B</v>
      </c>
      <c r="H37" s="41">
        <v>67</v>
      </c>
      <c r="I37" s="41" t="str">
        <f t="shared" si="5"/>
        <v>B</v>
      </c>
      <c r="J37" s="41">
        <v>29</v>
      </c>
      <c r="K37" s="41" t="str">
        <f t="shared" si="6"/>
        <v>W</v>
      </c>
      <c r="L37" s="41">
        <v>58</v>
      </c>
      <c r="M37" s="41" t="str">
        <f t="shared" si="7"/>
        <v>C</v>
      </c>
      <c r="N37" s="41">
        <v>60</v>
      </c>
      <c r="O37" s="293" t="str">
        <f t="shared" si="8"/>
        <v>C</v>
      </c>
      <c r="P37" s="43">
        <v>78</v>
      </c>
      <c r="Q37" s="43" t="str">
        <f t="shared" si="9"/>
        <v>A</v>
      </c>
      <c r="R37" s="43">
        <v>55</v>
      </c>
      <c r="S37" s="43" t="str">
        <f t="shared" si="10"/>
        <v>C</v>
      </c>
      <c r="T37" s="43">
        <v>52</v>
      </c>
      <c r="U37" s="43" t="str">
        <f t="shared" si="11"/>
        <v>C</v>
      </c>
      <c r="V37" s="44"/>
      <c r="W37" s="44"/>
      <c r="X37" s="44"/>
      <c r="Y37" s="44"/>
      <c r="Z37" s="44">
        <v>76</v>
      </c>
      <c r="AA37" s="44" t="str">
        <f>IF(Z37&gt;=75,"A",IF(Z37&gt;=65,"B",IF(Z37&gt;=50,"C",IF(Z37&gt;=40,"S","W"))))</f>
        <v>A</v>
      </c>
      <c r="AB37" s="99">
        <v>60</v>
      </c>
      <c r="AC37" s="99" t="str">
        <f t="shared" si="13"/>
        <v>C</v>
      </c>
      <c r="AD37" s="99">
        <v>85</v>
      </c>
      <c r="AE37" s="99" t="str">
        <f t="shared" si="14"/>
        <v>A</v>
      </c>
      <c r="AF37" s="100">
        <f t="shared" si="15"/>
        <v>745</v>
      </c>
      <c r="AG37" s="101">
        <f t="shared" si="20"/>
        <v>62.0833333333333</v>
      </c>
      <c r="AH37" s="100">
        <f t="shared" si="16"/>
        <v>5</v>
      </c>
      <c r="AI37" s="36">
        <f t="shared" si="17"/>
        <v>3</v>
      </c>
      <c r="AJ37" s="36">
        <f t="shared" si="0"/>
        <v>2</v>
      </c>
      <c r="AK37" s="36">
        <f t="shared" si="1"/>
        <v>6</v>
      </c>
      <c r="AL37" s="36">
        <f t="shared" si="2"/>
        <v>0</v>
      </c>
      <c r="AM37" s="36">
        <f t="shared" si="18"/>
        <v>1</v>
      </c>
      <c r="AN37" s="37">
        <f t="shared" si="19"/>
        <v>0</v>
      </c>
    </row>
    <row r="38" s="2" customFormat="1" ht="14.65" customHeight="1" spans="1:40">
      <c r="A38" s="53" t="s">
        <v>62</v>
      </c>
      <c r="B38" s="54"/>
      <c r="C38" s="55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8"/>
      <c r="AG38" s="58"/>
      <c r="AH38" s="58"/>
      <c r="AI38"/>
      <c r="AJ38"/>
      <c r="AK38"/>
      <c r="AL38"/>
      <c r="AM38" s="59"/>
      <c r="AN38" s="60"/>
    </row>
    <row r="39" ht="13.15" customHeight="1" spans="1:40">
      <c r="A39" s="53" t="s">
        <v>63</v>
      </c>
      <c r="B39" s="54"/>
      <c r="C39" s="61" t="s">
        <v>24</v>
      </c>
      <c r="D39" s="56"/>
      <c r="E39" s="63">
        <f>COUNTIF(E7:E37,"A")</f>
        <v>1</v>
      </c>
      <c r="F39" s="56"/>
      <c r="G39" s="63">
        <f>COUNTIF(G7:G37,"A")</f>
        <v>2</v>
      </c>
      <c r="H39" s="56"/>
      <c r="I39" s="63">
        <f>COUNTIF(I7:I37,"A")</f>
        <v>0</v>
      </c>
      <c r="J39" s="56"/>
      <c r="K39" s="63">
        <f>COUNTIF(K7:K37,"A")</f>
        <v>1</v>
      </c>
      <c r="L39" s="63"/>
      <c r="M39" s="63">
        <f>COUNTIF(M7:M37,"A")</f>
        <v>2</v>
      </c>
      <c r="N39" s="63"/>
      <c r="O39" s="63">
        <f>COUNTIF(O7:O37,"A")</f>
        <v>2</v>
      </c>
      <c r="P39" s="63"/>
      <c r="Q39" s="63">
        <f>COUNTIF(Q7:Q37,"A")</f>
        <v>4</v>
      </c>
      <c r="R39" s="56"/>
      <c r="S39" s="63">
        <f>COUNTIF(S7:S37,"A")</f>
        <v>0</v>
      </c>
      <c r="T39" s="56"/>
      <c r="U39" s="63">
        <f>COUNTIF(U7:U37,"A")</f>
        <v>3</v>
      </c>
      <c r="V39" s="56"/>
      <c r="W39" s="63">
        <f>COUNTIF(W7:W37,"A")</f>
        <v>1</v>
      </c>
      <c r="X39" s="56"/>
      <c r="Y39" s="63">
        <f>COUNTIF(Y7:Y37,"A")</f>
        <v>6</v>
      </c>
      <c r="Z39" s="56"/>
      <c r="AA39" s="63">
        <f>COUNTIF(AA7:AA37,"A")</f>
        <v>3</v>
      </c>
      <c r="AB39" s="56"/>
      <c r="AC39" s="63">
        <f>COUNTIF(AC7:AC37,"A")</f>
        <v>0</v>
      </c>
      <c r="AD39" s="56"/>
      <c r="AE39" s="63">
        <f>COUNTIF(AE7:AE37,"A")</f>
        <v>10</v>
      </c>
      <c r="AF39" s="64"/>
      <c r="AG39" s="64"/>
      <c r="AH39" s="64"/>
      <c r="AM39" s="59"/>
      <c r="AN39" s="60"/>
    </row>
    <row r="40" ht="13.15" customHeight="1" spans="1:40">
      <c r="A40" s="53" t="s">
        <v>64</v>
      </c>
      <c r="B40" s="54"/>
      <c r="C40" s="55" t="s">
        <v>25</v>
      </c>
      <c r="D40" s="56"/>
      <c r="E40" s="63">
        <f>COUNTIF(E7:E37,"B")</f>
        <v>2</v>
      </c>
      <c r="F40" s="56"/>
      <c r="G40" s="63">
        <f>COUNTIF(G7:G37,"B")</f>
        <v>2</v>
      </c>
      <c r="H40" s="56"/>
      <c r="I40" s="63">
        <f>COUNTIF(I7:I37,"B")</f>
        <v>1</v>
      </c>
      <c r="J40" s="56"/>
      <c r="K40" s="63">
        <f>COUNTIF(K7:K37,"B")</f>
        <v>3</v>
      </c>
      <c r="L40" s="56"/>
      <c r="M40" s="63">
        <f>COUNTIF(M7:M37,"B")</f>
        <v>2</v>
      </c>
      <c r="N40" s="56"/>
      <c r="O40" s="63">
        <f>COUNTIF(O7:O37,"B")</f>
        <v>1</v>
      </c>
      <c r="P40" s="56"/>
      <c r="Q40" s="63">
        <f>COUNTIF(Q7:Q37,"B")</f>
        <v>6</v>
      </c>
      <c r="R40" s="56"/>
      <c r="S40" s="63">
        <f>COUNTIF(S7:S37,"B")</f>
        <v>1</v>
      </c>
      <c r="T40" s="56"/>
      <c r="U40" s="63">
        <f>COUNTIF(U7:U37,"B")</f>
        <v>1</v>
      </c>
      <c r="V40" s="56"/>
      <c r="W40" s="63">
        <f>COUNTIF(W7:W37,"B")</f>
        <v>0</v>
      </c>
      <c r="X40" s="56"/>
      <c r="Y40" s="63">
        <f>COUNTIF(Y7:Y37,"B")</f>
        <v>6</v>
      </c>
      <c r="Z40" s="56"/>
      <c r="AA40" s="63">
        <f>COUNTIF(AA7:AA37,"B")</f>
        <v>1</v>
      </c>
      <c r="AB40" s="56"/>
      <c r="AC40" s="63">
        <f>COUNTIF(AC7:AC37,"B")</f>
        <v>2</v>
      </c>
      <c r="AD40" s="56"/>
      <c r="AE40" s="63">
        <f>COUNTIF(AE7:AE37,"B")</f>
        <v>3</v>
      </c>
      <c r="AF40" s="64"/>
      <c r="AG40" s="64"/>
      <c r="AH40" s="64"/>
    </row>
    <row r="41" ht="13.15" customHeight="1" spans="1:40">
      <c r="A41" s="53" t="s">
        <v>65</v>
      </c>
      <c r="B41" s="54"/>
      <c r="C41" s="55" t="s">
        <v>26</v>
      </c>
      <c r="D41" s="56"/>
      <c r="E41" s="63">
        <f>COUNTIF(E7:E37,"C")</f>
        <v>7</v>
      </c>
      <c r="F41" s="56"/>
      <c r="G41" s="63">
        <f>COUNTIF(G7:G37,"C")</f>
        <v>4</v>
      </c>
      <c r="H41" s="56"/>
      <c r="I41" s="63">
        <f>COUNTIF(I7:I37,"C")</f>
        <v>4</v>
      </c>
      <c r="J41" s="56"/>
      <c r="K41" s="63">
        <f>COUNTIF(K7:K37,"C")</f>
        <v>2</v>
      </c>
      <c r="L41" s="56"/>
      <c r="M41" s="63">
        <f>COUNTIF(M7:M37,"C")</f>
        <v>8</v>
      </c>
      <c r="N41" s="56"/>
      <c r="O41" s="63">
        <f>COUNTIF(O7:O37,"C")</f>
        <v>3</v>
      </c>
      <c r="P41" s="56"/>
      <c r="Q41" s="63">
        <f>COUNTIF(Q7:Q37,"C")</f>
        <v>7</v>
      </c>
      <c r="R41" s="56"/>
      <c r="S41" s="63">
        <f>COUNTIF(S7:S37,"C")</f>
        <v>8</v>
      </c>
      <c r="T41" s="56"/>
      <c r="U41" s="63">
        <f>COUNTIF(U7:U37,"C")</f>
        <v>4</v>
      </c>
      <c r="V41" s="56"/>
      <c r="W41" s="63">
        <f>COUNTIF(W7:W37,"C")</f>
        <v>0</v>
      </c>
      <c r="X41" s="56"/>
      <c r="Y41" s="63">
        <f>COUNTIF(Y7:Y37,"C")</f>
        <v>5</v>
      </c>
      <c r="Z41" s="56"/>
      <c r="AA41" s="63">
        <f>COUNTIF(AA7:AA37,"C")</f>
        <v>0</v>
      </c>
      <c r="AB41" s="56"/>
      <c r="AC41" s="63">
        <f>COUNTIF(AC7:AC37,"C")</f>
        <v>8</v>
      </c>
      <c r="AD41" s="56"/>
      <c r="AE41" s="63">
        <f>COUNTIF(AE7:AE37,"C")</f>
        <v>11</v>
      </c>
      <c r="AF41" s="64"/>
      <c r="AG41" s="64"/>
      <c r="AH41" s="64"/>
    </row>
    <row r="42" ht="13.15" customHeight="1" spans="1:40">
      <c r="A42" s="53" t="s">
        <v>66</v>
      </c>
      <c r="B42" s="54"/>
      <c r="C42" s="55" t="s">
        <v>27</v>
      </c>
      <c r="D42" s="56"/>
      <c r="E42" s="63">
        <f>COUNTIF(E7:E37,"S")</f>
        <v>4</v>
      </c>
      <c r="F42" s="56"/>
      <c r="G42" s="63">
        <f>COUNTIF(G7:G37,"S")</f>
        <v>0</v>
      </c>
      <c r="H42" s="56"/>
      <c r="I42" s="63">
        <f>COUNTIF(I7:I37,"S")</f>
        <v>7</v>
      </c>
      <c r="J42" s="56"/>
      <c r="K42" s="63">
        <f>COUNTIF(K7:K37,"S")</f>
        <v>3</v>
      </c>
      <c r="L42" s="56"/>
      <c r="M42" s="63">
        <f>COUNTIF(M7:M37,"S")</f>
        <v>2</v>
      </c>
      <c r="N42" s="56"/>
      <c r="O42" s="63">
        <f>COUNTIF(O7:O37,"S")</f>
        <v>6</v>
      </c>
      <c r="P42" s="56"/>
      <c r="Q42" s="63">
        <f>COUNTIF(Q7:Q37,"S")</f>
        <v>3</v>
      </c>
      <c r="R42" s="56"/>
      <c r="S42" s="63">
        <f>COUNTIF(S7:S37,"S")</f>
        <v>4</v>
      </c>
      <c r="T42" s="56"/>
      <c r="U42" s="63">
        <f>COUNTIF(U7:U37,"S")</f>
        <v>8</v>
      </c>
      <c r="V42" s="56"/>
      <c r="W42" s="63">
        <f>COUNTIF(W7:W37,"S")</f>
        <v>0</v>
      </c>
      <c r="X42" s="56"/>
      <c r="Y42" s="63">
        <f>COUNTIF(Y7:Y37,"S")</f>
        <v>1</v>
      </c>
      <c r="Z42" s="56"/>
      <c r="AA42" s="63">
        <f>COUNTIF(AA7:AA37,"S")</f>
        <v>0</v>
      </c>
      <c r="AB42" s="56"/>
      <c r="AC42" s="63">
        <f>COUNTIF(AC7:AC37,"S")</f>
        <v>5</v>
      </c>
      <c r="AD42" s="56"/>
      <c r="AE42" s="63">
        <f>COUNTIF(AE7:AE37,"S")</f>
        <v>6</v>
      </c>
      <c r="AF42" s="64"/>
      <c r="AG42" s="64"/>
      <c r="AH42" s="64"/>
    </row>
    <row r="43" ht="13.15" customHeight="1" spans="1:40">
      <c r="A43" s="53" t="s">
        <v>67</v>
      </c>
      <c r="B43" s="54"/>
      <c r="C43" s="55" t="s">
        <v>28</v>
      </c>
      <c r="D43" s="56"/>
      <c r="E43" s="63">
        <f>COUNTIF(E7:E37,"W")</f>
        <v>17</v>
      </c>
      <c r="F43" s="56"/>
      <c r="G43" s="63">
        <f>COUNTIF(G7:G37,"W")</f>
        <v>23</v>
      </c>
      <c r="H43" s="56"/>
      <c r="I43" s="63">
        <f>COUNTIF(I7:I37,"W")</f>
        <v>19</v>
      </c>
      <c r="J43" s="56"/>
      <c r="K43" s="63">
        <f>COUNTIF(K7:K37,"W")</f>
        <v>22</v>
      </c>
      <c r="L43" s="56"/>
      <c r="M43" s="63">
        <f>COUNTIF(M7:M37,"W")</f>
        <v>15</v>
      </c>
      <c r="N43" s="56"/>
      <c r="O43" s="63">
        <f>COUNTIF(O7:O37,"W")</f>
        <v>19</v>
      </c>
      <c r="P43" s="56"/>
      <c r="Q43" s="63">
        <f>COUNTIF(Q7:Q37,"W")</f>
        <v>11</v>
      </c>
      <c r="R43" s="56"/>
      <c r="S43" s="63">
        <f>COUNTIF(S7:S37,"W")</f>
        <v>16</v>
      </c>
      <c r="T43" s="56"/>
      <c r="U43" s="63">
        <f>COUNTIF(U7:U37,"W")</f>
        <v>15</v>
      </c>
      <c r="V43" s="56"/>
      <c r="W43" s="63">
        <f>COUNTIF(W7:W37,"W")</f>
        <v>5</v>
      </c>
      <c r="X43" s="56"/>
      <c r="Y43" s="63">
        <f>COUNTIF(Y7:Y37,"W")</f>
        <v>3</v>
      </c>
      <c r="Z43" s="56"/>
      <c r="AA43" s="63">
        <f>COUNTIF(AA7:AA37,"W")</f>
        <v>0</v>
      </c>
      <c r="AB43" s="56"/>
      <c r="AC43" s="63">
        <f>COUNTIF(AC7:AC37,"W")</f>
        <v>14</v>
      </c>
      <c r="AD43" s="56"/>
      <c r="AE43" s="63">
        <f>COUNTIF(AE7:AE37,"W")</f>
        <v>1</v>
      </c>
      <c r="AF43" s="64"/>
      <c r="AG43" s="64"/>
      <c r="AH43" s="64"/>
    </row>
    <row r="44" ht="13.15" customHeight="1" spans="1:40">
      <c r="A44" s="53"/>
      <c r="B44" s="54"/>
      <c r="C44" s="55" t="s">
        <v>29</v>
      </c>
      <c r="D44" s="56"/>
      <c r="E44" s="63">
        <f>COUNTIF(E7:E37,"AB")</f>
        <v>0</v>
      </c>
      <c r="F44" s="56"/>
      <c r="G44" s="63">
        <f>COUNTIF(G7:G37,"AB")</f>
        <v>0</v>
      </c>
      <c r="H44" s="56"/>
      <c r="I44" s="63">
        <f>COUNTIF(I7:I37,"AB")</f>
        <v>0</v>
      </c>
      <c r="J44" s="56"/>
      <c r="K44" s="63">
        <f>COUNTIF(K7:K37,"AB")</f>
        <v>0</v>
      </c>
      <c r="L44" s="56"/>
      <c r="M44" s="63">
        <f>COUNTIF(M7:M37,"AB")</f>
        <v>2</v>
      </c>
      <c r="N44" s="56"/>
      <c r="O44" s="63">
        <f>COUNTIF(O7:O37,"AB")</f>
        <v>0</v>
      </c>
      <c r="P44" s="56"/>
      <c r="Q44" s="63">
        <f>COUNTIF(Q7:Q37,"AB")</f>
        <v>0</v>
      </c>
      <c r="R44" s="56"/>
      <c r="S44" s="63">
        <f>COUNTIF(S7:S37,"AB")</f>
        <v>2</v>
      </c>
      <c r="T44" s="56"/>
      <c r="U44" s="63">
        <f>COUNTIF(U7:U37,"AB")</f>
        <v>0</v>
      </c>
      <c r="V44" s="56"/>
      <c r="W44" s="63">
        <f>COUNTIF(W7:W37,"AB")</f>
        <v>0</v>
      </c>
      <c r="X44" s="56"/>
      <c r="Y44" s="63">
        <f>COUNTIF(Y7:Y37,"AB")</f>
        <v>0</v>
      </c>
      <c r="Z44" s="56"/>
      <c r="AA44" s="63">
        <f>COUNTIF(AA7:AA37,"AB")</f>
        <v>0</v>
      </c>
      <c r="AB44" s="56"/>
      <c r="AC44" s="63">
        <f>COUNTIF(AC7:AC37,"AB")</f>
        <v>2</v>
      </c>
      <c r="AD44" s="56"/>
      <c r="AE44" s="63">
        <f>COUNTIF(AE7:AE37,"AB")</f>
        <v>0</v>
      </c>
      <c r="AF44" s="64"/>
      <c r="AG44" s="64"/>
      <c r="AH44" s="64"/>
    </row>
    <row r="45" ht="13.15" customHeight="1" spans="1:40">
      <c r="A45" s="53" t="s">
        <v>7</v>
      </c>
      <c r="B45" s="54"/>
      <c r="C45" s="55"/>
      <c r="D45" s="56"/>
      <c r="E45" s="409">
        <f>SUM(E39:E44)</f>
        <v>31</v>
      </c>
      <c r="F45" s="410"/>
      <c r="G45" s="411">
        <f>SUM(G39:G44)</f>
        <v>31</v>
      </c>
      <c r="H45" s="410"/>
      <c r="I45" s="411">
        <f>SUM(I39:I44)</f>
        <v>31</v>
      </c>
      <c r="J45" s="410"/>
      <c r="K45" s="411">
        <f>SUM(K39:K44)</f>
        <v>31</v>
      </c>
      <c r="L45" s="410"/>
      <c r="M45" s="411">
        <f>SUM(M39:M44)</f>
        <v>31</v>
      </c>
      <c r="N45" s="410"/>
      <c r="O45" s="411">
        <f>SUM(O39:O44)</f>
        <v>31</v>
      </c>
      <c r="P45" s="410"/>
      <c r="Q45" s="411">
        <f>SUM(Q39:Q44)</f>
        <v>31</v>
      </c>
      <c r="R45" s="410"/>
      <c r="S45" s="411">
        <f>SUM(S39:S44)</f>
        <v>31</v>
      </c>
      <c r="T45" s="410"/>
      <c r="U45" s="411">
        <f>SUM(U39:U44)</f>
        <v>31</v>
      </c>
      <c r="V45" s="410"/>
      <c r="W45" s="411">
        <f>SUM(W39:W44)</f>
        <v>6</v>
      </c>
      <c r="X45" s="410"/>
      <c r="Y45" s="411">
        <f>SUM(Y39:Y44)</f>
        <v>21</v>
      </c>
      <c r="Z45" s="410"/>
      <c r="AA45" s="411">
        <f>SUM(AA39:AA44)</f>
        <v>4</v>
      </c>
      <c r="AB45" s="410"/>
      <c r="AC45" s="411">
        <f>SUM(AC39:AC44)</f>
        <v>31</v>
      </c>
      <c r="AD45" s="410"/>
      <c r="AE45" s="411">
        <f>SUM(AE39:AE44)</f>
        <v>31</v>
      </c>
      <c r="AF45" s="70"/>
      <c r="AG45" s="70"/>
      <c r="AH45" s="70"/>
    </row>
    <row r="46" ht="13.15" customHeight="1" spans="1:40">
      <c r="A46" s="123"/>
      <c r="B46" s="287"/>
      <c r="C46" s="287"/>
    </row>
    <row r="47" ht="16.9" customHeight="1" spans="1:40">
      <c r="A47" s="123"/>
      <c r="B47" s="310"/>
      <c r="C47" s="310"/>
    </row>
    <row r="48" ht="16.9" customHeight="1"/>
    <row r="49" ht="16.9" customHeight="1"/>
    <row r="50" ht="16.9" customHeight="1"/>
    <row r="51" ht="16.9" customHeight="1"/>
    <row r="52" ht="16.9" customHeight="1"/>
  </sheetData>
  <mergeCells count="17">
    <mergeCell ref="A1:AE1"/>
    <mergeCell ref="A3:AM3"/>
    <mergeCell ref="A4:AM4"/>
    <mergeCell ref="D5:AE5"/>
    <mergeCell ref="AF5:AH5"/>
    <mergeCell ref="AI5:AN5"/>
    <mergeCell ref="A38:B38"/>
    <mergeCell ref="A39:B39"/>
    <mergeCell ref="A40:B40"/>
    <mergeCell ref="A41:B41"/>
    <mergeCell ref="A42:B42"/>
    <mergeCell ref="A43:B43"/>
    <mergeCell ref="A44:B44"/>
    <mergeCell ref="A45:B45"/>
    <mergeCell ref="A5:A6"/>
    <mergeCell ref="B5:B6"/>
    <mergeCell ref="C5:C6"/>
  </mergeCells>
  <pageMargins left="0.25" right="0.25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9"/>
  <sheetViews>
    <sheetView zoomScale="65" zoomScaleNormal="65" workbookViewId="0">
      <selection activeCell="D13" sqref="D13"/>
    </sheetView>
  </sheetViews>
  <sheetFormatPr defaultColWidth="9" defaultRowHeight="15.6"/>
  <cols>
    <col min="1" max="1" width="4.71296296296296" customWidth="1"/>
    <col min="2" max="2" width="34.287037037037" customWidth="1"/>
    <col min="3" max="10" width="4.28703703703704" customWidth="1"/>
    <col min="11" max="11" width="4.28703703703704" style="1" customWidth="1"/>
    <col min="12" max="31" width="4.28703703703704" customWidth="1"/>
    <col min="32" max="32" width="5.57407407407407" customWidth="1"/>
    <col min="33" max="33" width="6.28703703703704" customWidth="1"/>
    <col min="34" max="34" width="4.28703703703704" customWidth="1"/>
    <col min="35" max="36" width="3.28703703703704" customWidth="1"/>
    <col min="37" max="37" width="3.57407407407407" customWidth="1"/>
    <col min="38" max="39" width="3.28703703703704" customWidth="1"/>
    <col min="40" max="40" width="3.85185185185185" style="2" customWidth="1"/>
  </cols>
  <sheetData>
    <row r="1" ht="25.8" spans="1:40">
      <c r="A1" s="3" t="s">
        <v>68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ht="19.15" customHeight="1" spans="1:4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ht="21" spans="1:40">
      <c r="A3" s="5" t="s">
        <v>69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40">
      <c r="A4" s="6" t="s">
        <v>3</v>
      </c>
      <c r="B4" s="7" t="s">
        <v>4</v>
      </c>
      <c r="C4" s="8" t="s">
        <v>5</v>
      </c>
      <c r="D4" s="9" t="s">
        <v>6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290"/>
      <c r="AG4" s="291"/>
      <c r="AH4" s="292"/>
      <c r="AI4" s="401" t="s">
        <v>7</v>
      </c>
      <c r="AJ4" s="402"/>
      <c r="AK4" s="402"/>
      <c r="AL4" s="402"/>
      <c r="AM4" s="402"/>
      <c r="AN4" s="402"/>
    </row>
    <row r="5" ht="83.45" customHeight="1" spans="1:40">
      <c r="A5" s="6"/>
      <c r="B5" s="6"/>
      <c r="C5" s="13"/>
      <c r="D5" s="14" t="s">
        <v>8</v>
      </c>
      <c r="E5" s="14"/>
      <c r="F5" s="14" t="s">
        <v>9</v>
      </c>
      <c r="G5" s="14"/>
      <c r="H5" s="14" t="s">
        <v>10</v>
      </c>
      <c r="I5" s="14"/>
      <c r="J5" s="14" t="s">
        <v>11</v>
      </c>
      <c r="K5" s="14"/>
      <c r="L5" s="14" t="s">
        <v>12</v>
      </c>
      <c r="M5" s="14"/>
      <c r="N5" s="14" t="s">
        <v>13</v>
      </c>
      <c r="O5" s="14"/>
      <c r="P5" s="116" t="s">
        <v>14</v>
      </c>
      <c r="Q5" s="16"/>
      <c r="R5" s="16" t="s">
        <v>15</v>
      </c>
      <c r="S5" s="16"/>
      <c r="T5" s="16" t="s">
        <v>16</v>
      </c>
      <c r="U5" s="16"/>
      <c r="V5" s="17" t="s">
        <v>17</v>
      </c>
      <c r="W5" s="17"/>
      <c r="X5" s="17" t="s">
        <v>18</v>
      </c>
      <c r="Y5" s="17"/>
      <c r="Z5" s="17" t="s">
        <v>19</v>
      </c>
      <c r="AA5" s="92"/>
      <c r="AB5" s="257" t="s">
        <v>20</v>
      </c>
      <c r="AC5" s="93"/>
      <c r="AD5" s="93" t="s">
        <v>21</v>
      </c>
      <c r="AE5" s="93"/>
      <c r="AF5" s="18" t="s">
        <v>7</v>
      </c>
      <c r="AG5" s="18" t="s">
        <v>22</v>
      </c>
      <c r="AH5" s="18" t="s">
        <v>23</v>
      </c>
      <c r="AI5" s="19" t="s">
        <v>24</v>
      </c>
      <c r="AJ5" s="20" t="s">
        <v>25</v>
      </c>
      <c r="AK5" s="21" t="s">
        <v>26</v>
      </c>
      <c r="AL5" s="20" t="s">
        <v>27</v>
      </c>
      <c r="AM5" s="20" t="s">
        <v>28</v>
      </c>
      <c r="AN5" s="22" t="s">
        <v>29</v>
      </c>
    </row>
    <row r="6" ht="15" customHeight="1" spans="1:40">
      <c r="A6" s="39">
        <v>1</v>
      </c>
      <c r="B6" s="276" t="s">
        <v>70</v>
      </c>
      <c r="C6" s="95" t="s">
        <v>71</v>
      </c>
      <c r="D6" s="41">
        <v>26</v>
      </c>
      <c r="E6" s="29" t="str">
        <f>IF(D6&gt;=75,"A",IF(D6&gt;=65,"B",IF(D6&gt;=50,"C",IF(D6&gt;=40,"S","W"))))</f>
        <v>W</v>
      </c>
      <c r="F6" s="41">
        <v>19</v>
      </c>
      <c r="G6" s="49" t="str">
        <f>IF(F6&gt;=75,"A",IF(F6&gt;=65,"B",IF(F6&gt;=50,"C",IF(F6&gt;=40,"S","W"))))</f>
        <v>W</v>
      </c>
      <c r="H6" s="41">
        <v>21</v>
      </c>
      <c r="I6" s="29" t="str">
        <f>IF(H6&gt;=75,"A",IF(H6&gt;=65,"B",IF(H6&gt;=50,"C",IF(H6&gt;=40,"S","W"))))</f>
        <v>W</v>
      </c>
      <c r="J6" s="41">
        <v>25</v>
      </c>
      <c r="K6" s="41" t="str">
        <f>IF(J6&gt;=75,"A",IF(J6&gt;=65,"B",IF(J6&gt;=50,"C",IF(J6&gt;=40,"S","W"))))</f>
        <v>W</v>
      </c>
      <c r="L6" s="41">
        <v>29</v>
      </c>
      <c r="M6" s="41" t="str">
        <f>IF(L6&gt;=75,"A",IF(L6&gt;=65,"B",IF(L6&gt;=50,"C",IF(L6&gt;=40,"S","W"))))</f>
        <v>W</v>
      </c>
      <c r="N6" s="41">
        <v>13</v>
      </c>
      <c r="O6" s="41" t="str">
        <f>IF(N6&gt;=75,"A",IF(N6&gt;=65,"B",IF(N6&gt;=50,"C",IF(N6&gt;=40,"S","W"))))</f>
        <v>W</v>
      </c>
      <c r="P6" s="43">
        <v>45</v>
      </c>
      <c r="Q6" s="309" t="str">
        <f>IF(P6&gt;=75,"A",IF(P6&gt;=65,"B",IF(P6&gt;=50,"C",IF(P6&gt;=40,"S","W"))))</f>
        <v>S</v>
      </c>
      <c r="R6" s="43">
        <v>32</v>
      </c>
      <c r="S6" s="43" t="str">
        <f>IF(R6&gt;=75,"A",IF(R6&gt;=65,"B",IF(R6&gt;=50,"C",IF(R6&gt;=40,"S","W"))))</f>
        <v>W</v>
      </c>
      <c r="T6" s="43">
        <v>19</v>
      </c>
      <c r="U6" s="43" t="str">
        <f>IF(T6&gt;=75,"A",IF(T6&gt;=65,"B",IF(T6&gt;=50,"C",IF(T6&gt;=40,"S","W"))))</f>
        <v>W</v>
      </c>
      <c r="V6" s="44"/>
      <c r="W6" s="44"/>
      <c r="X6" s="44">
        <v>52</v>
      </c>
      <c r="Y6" s="44" t="str">
        <f>IF(X6&gt;=75,"A",IF(X6&gt;=65,"B",IF(X6&gt;=50,"C",IF(X6&gt;=40,"S","W"))))</f>
        <v>C</v>
      </c>
      <c r="Z6" s="44"/>
      <c r="AA6" s="44"/>
      <c r="AB6" s="99">
        <v>34</v>
      </c>
      <c r="AC6" s="99" t="str">
        <f>IF(AB6&gt;=75,"A",IF(AB6&gt;=65,"B",IF(AB6&gt;=50,"C",IF(AB6&gt;=40,"S","W"))))</f>
        <v>W</v>
      </c>
      <c r="AD6" s="99">
        <v>70</v>
      </c>
      <c r="AE6" s="99" t="str">
        <f>IF(AD6&gt;=75,"A",IF(AD6&gt;=65,"B",IF(AD6&gt;=50,"C",IF(AD6&gt;=40,"S","W"))))</f>
        <v>B</v>
      </c>
      <c r="AF6" s="100">
        <f>SUM(AD6,AB6,Z6,X6,V6,T6,R6,P6,N6,L6,J6,H6,F6,D6)</f>
        <v>385</v>
      </c>
      <c r="AG6" s="101">
        <f>AVERAGE(AF6/12)</f>
        <v>32.0833333333333</v>
      </c>
      <c r="AH6" s="100">
        <f>RANK(AF6,$AF$6:$AF$33,0)</f>
        <v>17</v>
      </c>
      <c r="AI6" s="36">
        <f t="shared" ref="AI6:AI33" si="0">COUNTIF(D6:AE6,"A")</f>
        <v>0</v>
      </c>
      <c r="AJ6" s="36">
        <f t="shared" ref="AJ6:AJ33" si="1">COUNTIF(D6:AE6,"B")</f>
        <v>1</v>
      </c>
      <c r="AK6" s="36">
        <f t="shared" ref="AK6:AK33" si="2">COUNTIF(D6:AE6,"C")</f>
        <v>1</v>
      </c>
      <c r="AL6" s="36">
        <f>COUNTIF(E6:AE6,"S")</f>
        <v>1</v>
      </c>
      <c r="AM6" s="36">
        <f t="shared" ref="AM6:AM19" si="3">COUNTIF(D6:AE6,"W")</f>
        <v>9</v>
      </c>
      <c r="AN6" s="37">
        <f t="shared" ref="AN6:AN33" si="4">(COUNTIF(D6:AE6,"AB"))/2</f>
        <v>0</v>
      </c>
    </row>
    <row r="7" ht="15" customHeight="1" spans="1:40">
      <c r="A7" s="39">
        <v>2</v>
      </c>
      <c r="B7" s="276" t="s">
        <v>72</v>
      </c>
      <c r="C7" s="95" t="s">
        <v>71</v>
      </c>
      <c r="D7" s="41">
        <v>13</v>
      </c>
      <c r="E7" s="29" t="str">
        <f t="shared" ref="E7:E33" si="5">IF(D7&gt;=75,"A",IF(D7&gt;=65,"B",IF(D7&gt;=50,"C",IF(D7&gt;=40,"S","W"))))</f>
        <v>W</v>
      </c>
      <c r="F7" s="41">
        <v>0</v>
      </c>
      <c r="G7" s="49" t="str">
        <f t="shared" ref="G7:G33" si="6">IF(F7&gt;=75,"A",IF(F7&gt;=65,"B",IF(F7&gt;=50,"C",IF(F7&gt;=40,"S","W"))))</f>
        <v>W</v>
      </c>
      <c r="H7" s="46" t="s">
        <v>29</v>
      </c>
      <c r="I7" s="46" t="s">
        <v>29</v>
      </c>
      <c r="J7" s="41">
        <v>8</v>
      </c>
      <c r="K7" s="41" t="str">
        <f t="shared" ref="K7:K33" si="7">IF(J7&gt;=75,"A",IF(J7&gt;=65,"B",IF(J7&gt;=50,"C",IF(J7&gt;=40,"S","W"))))</f>
        <v>W</v>
      </c>
      <c r="L7" s="41">
        <v>21</v>
      </c>
      <c r="M7" s="41" t="str">
        <f t="shared" ref="M7:M11" si="8">IF(L7&gt;=75,"A",IF(L7&gt;=65,"B",IF(L7&gt;=50,"C",IF(L7&gt;=40,"S","W"))))</f>
        <v>W</v>
      </c>
      <c r="N7" s="41">
        <v>18</v>
      </c>
      <c r="O7" s="41" t="str">
        <f t="shared" ref="O7:O33" si="9">IF(N7&gt;=75,"A",IF(N7&gt;=65,"B",IF(N7&gt;=50,"C",IF(N7&gt;=40,"S","W"))))</f>
        <v>W</v>
      </c>
      <c r="P7" s="43">
        <v>16</v>
      </c>
      <c r="Q7" s="309" t="str">
        <f t="shared" ref="Q7:Q33" si="10">IF(P7&gt;=75,"A",IF(P7&gt;=65,"B",IF(P7&gt;=50,"C",IF(P7&gt;=40,"S","W"))))</f>
        <v>W</v>
      </c>
      <c r="R7" s="43">
        <v>8</v>
      </c>
      <c r="S7" s="43" t="str">
        <f t="shared" ref="S7:S33" si="11">IF(R7&gt;=75,"A",IF(R7&gt;=65,"B",IF(R7&gt;=50,"C",IF(R7&gt;=40,"S","W"))))</f>
        <v>W</v>
      </c>
      <c r="T7" s="43">
        <v>12</v>
      </c>
      <c r="U7" s="43" t="str">
        <f t="shared" ref="U7:U33" si="12">IF(T7&gt;=75,"A",IF(T7&gt;=65,"B",IF(T7&gt;=50,"C",IF(T7&gt;=40,"S","W"))))</f>
        <v>W</v>
      </c>
      <c r="V7" s="44">
        <v>24</v>
      </c>
      <c r="W7" s="44"/>
      <c r="X7" s="86" t="s">
        <v>29</v>
      </c>
      <c r="Y7" s="86" t="s">
        <v>29</v>
      </c>
      <c r="Z7" s="44"/>
      <c r="AA7" s="44"/>
      <c r="AB7" s="99">
        <v>14</v>
      </c>
      <c r="AC7" s="99" t="str">
        <f t="shared" ref="AC7:AC33" si="13">IF(AB7&gt;=75,"A",IF(AB7&gt;=65,"B",IF(AB7&gt;=50,"C",IF(AB7&gt;=40,"S","W"))))</f>
        <v>W</v>
      </c>
      <c r="AD7" s="99">
        <v>50</v>
      </c>
      <c r="AE7" s="99" t="str">
        <f t="shared" ref="AE7:AE33" si="14">IF(AD7&gt;=75,"A",IF(AD7&gt;=65,"B",IF(AD7&gt;=50,"C",IF(AD7&gt;=40,"S","W"))))</f>
        <v>C</v>
      </c>
      <c r="AF7" s="100">
        <f t="shared" ref="AF7:AF33" si="15">SUM(AD7,AB7,Z7,X7,V7,T7,R7,P7,N7,L7,J7,H7,F7,D7)</f>
        <v>184</v>
      </c>
      <c r="AG7" s="101">
        <f t="shared" ref="AG7:AG33" si="16">AVERAGE(AF7/12)</f>
        <v>15.3333333333333</v>
      </c>
      <c r="AH7" s="100">
        <f t="shared" ref="AH7:AH33" si="17">RANK(AF7,$AF$6:$AF$33,0)</f>
        <v>25</v>
      </c>
      <c r="AI7" s="36">
        <f t="shared" si="0"/>
        <v>0</v>
      </c>
      <c r="AJ7" s="36">
        <f t="shared" si="1"/>
        <v>0</v>
      </c>
      <c r="AK7" s="36">
        <f t="shared" si="2"/>
        <v>1</v>
      </c>
      <c r="AL7" s="36">
        <f t="shared" ref="AL7:AL33" si="18">COUNTIF(E7:AE7,"S")</f>
        <v>0</v>
      </c>
      <c r="AM7" s="36">
        <f t="shared" si="3"/>
        <v>9</v>
      </c>
      <c r="AN7" s="37">
        <f t="shared" si="4"/>
        <v>2</v>
      </c>
    </row>
    <row r="8" s="2" customFormat="1" ht="15" customHeight="1" spans="1:40">
      <c r="A8" s="39">
        <v>3</v>
      </c>
      <c r="B8" s="276" t="s">
        <v>73</v>
      </c>
      <c r="C8" s="95" t="s">
        <v>71</v>
      </c>
      <c r="D8" s="41">
        <v>61</v>
      </c>
      <c r="E8" s="29" t="str">
        <f t="shared" si="5"/>
        <v>C</v>
      </c>
      <c r="F8" s="41">
        <v>23</v>
      </c>
      <c r="G8" s="49" t="str">
        <f t="shared" si="6"/>
        <v>W</v>
      </c>
      <c r="H8" s="41">
        <v>32</v>
      </c>
      <c r="I8" s="29" t="str">
        <f t="shared" ref="I8:I33" si="19">IF(H8&gt;=75,"A",IF(H8&gt;=65,"B",IF(H8&gt;=50,"C",IF(H8&gt;=40,"S","W"))))</f>
        <v>W</v>
      </c>
      <c r="J8" s="41">
        <v>47</v>
      </c>
      <c r="K8" s="41" t="str">
        <f t="shared" si="7"/>
        <v>S</v>
      </c>
      <c r="L8" s="49">
        <v>56</v>
      </c>
      <c r="M8" s="41" t="str">
        <f t="shared" si="8"/>
        <v>C</v>
      </c>
      <c r="N8" s="49">
        <v>40</v>
      </c>
      <c r="O8" s="41" t="str">
        <f t="shared" si="9"/>
        <v>S</v>
      </c>
      <c r="P8" s="43">
        <v>71</v>
      </c>
      <c r="Q8" s="309" t="str">
        <f t="shared" si="10"/>
        <v>B</v>
      </c>
      <c r="R8" s="43">
        <v>48</v>
      </c>
      <c r="S8" s="43" t="str">
        <f t="shared" si="11"/>
        <v>S</v>
      </c>
      <c r="T8" s="43">
        <v>10</v>
      </c>
      <c r="U8" s="43" t="str">
        <f t="shared" si="12"/>
        <v>W</v>
      </c>
      <c r="V8" s="44">
        <v>36</v>
      </c>
      <c r="W8" s="44" t="str">
        <f>IF(V8&gt;=75,"A",IF(V8&gt;=65,"B",IF(V8&gt;=50,"C",IF(V8&gt;=40,"S","W"))))</f>
        <v>W</v>
      </c>
      <c r="X8" s="44"/>
      <c r="Y8" s="44"/>
      <c r="Z8" s="44"/>
      <c r="AA8" s="44"/>
      <c r="AB8" s="99">
        <v>28</v>
      </c>
      <c r="AC8" s="99" t="str">
        <f t="shared" si="13"/>
        <v>W</v>
      </c>
      <c r="AD8" s="99">
        <v>50</v>
      </c>
      <c r="AE8" s="99" t="str">
        <f t="shared" si="14"/>
        <v>C</v>
      </c>
      <c r="AF8" s="100">
        <f t="shared" si="15"/>
        <v>502</v>
      </c>
      <c r="AG8" s="101">
        <f t="shared" si="16"/>
        <v>41.8333333333333</v>
      </c>
      <c r="AH8" s="100">
        <f t="shared" si="17"/>
        <v>10</v>
      </c>
      <c r="AI8" s="36">
        <f t="shared" si="0"/>
        <v>0</v>
      </c>
      <c r="AJ8" s="36">
        <f t="shared" si="1"/>
        <v>1</v>
      </c>
      <c r="AK8" s="36">
        <f t="shared" si="2"/>
        <v>3</v>
      </c>
      <c r="AL8" s="36">
        <f t="shared" si="18"/>
        <v>3</v>
      </c>
      <c r="AM8" s="36">
        <f t="shared" si="3"/>
        <v>5</v>
      </c>
      <c r="AN8" s="37">
        <f t="shared" si="4"/>
        <v>0</v>
      </c>
    </row>
    <row r="9" s="2" customFormat="1" ht="15" customHeight="1" spans="1:40">
      <c r="A9" s="39">
        <v>4</v>
      </c>
      <c r="B9" s="276" t="s">
        <v>74</v>
      </c>
      <c r="C9" s="95" t="s">
        <v>71</v>
      </c>
      <c r="D9" s="41">
        <v>39</v>
      </c>
      <c r="E9" s="29" t="str">
        <f t="shared" si="5"/>
        <v>W</v>
      </c>
      <c r="F9" s="49" t="s">
        <v>29</v>
      </c>
      <c r="G9" s="49" t="str">
        <f t="shared" si="6"/>
        <v>A</v>
      </c>
      <c r="H9" s="46" t="s">
        <v>29</v>
      </c>
      <c r="I9" s="46" t="s">
        <v>29</v>
      </c>
      <c r="J9" s="46" t="s">
        <v>29</v>
      </c>
      <c r="K9" s="46" t="s">
        <v>29</v>
      </c>
      <c r="L9" s="46" t="s">
        <v>29</v>
      </c>
      <c r="M9" s="46" t="s">
        <v>29</v>
      </c>
      <c r="N9" s="41">
        <v>40</v>
      </c>
      <c r="O9" s="41" t="str">
        <f t="shared" si="9"/>
        <v>S</v>
      </c>
      <c r="P9" s="309">
        <v>54</v>
      </c>
      <c r="Q9" s="309" t="str">
        <f t="shared" si="10"/>
        <v>C</v>
      </c>
      <c r="R9" s="42" t="s">
        <v>29</v>
      </c>
      <c r="S9" s="42" t="s">
        <v>29</v>
      </c>
      <c r="T9" s="42" t="s">
        <v>29</v>
      </c>
      <c r="U9" s="42" t="s">
        <v>29</v>
      </c>
      <c r="V9" s="44">
        <v>34</v>
      </c>
      <c r="W9" s="44" t="str">
        <f t="shared" ref="W9:W33" si="20">IF(V9&gt;=75,"A",IF(V9&gt;=65,"B",IF(V9&gt;=50,"C",IF(V9&gt;=40,"S","W"))))</f>
        <v>W</v>
      </c>
      <c r="X9" s="44"/>
      <c r="Y9" s="44"/>
      <c r="Z9" s="44"/>
      <c r="AA9" s="44"/>
      <c r="AB9" s="304" t="s">
        <v>29</v>
      </c>
      <c r="AC9" s="304" t="s">
        <v>29</v>
      </c>
      <c r="AD9" s="99">
        <v>20</v>
      </c>
      <c r="AE9" s="99" t="str">
        <f t="shared" si="14"/>
        <v>W</v>
      </c>
      <c r="AF9" s="100">
        <f t="shared" si="15"/>
        <v>187</v>
      </c>
      <c r="AG9" s="101">
        <f t="shared" si="16"/>
        <v>15.5833333333333</v>
      </c>
      <c r="AH9" s="100">
        <f t="shared" si="17"/>
        <v>24</v>
      </c>
      <c r="AI9" s="36">
        <f t="shared" si="0"/>
        <v>1</v>
      </c>
      <c r="AJ9" s="36">
        <f t="shared" si="1"/>
        <v>0</v>
      </c>
      <c r="AK9" s="36">
        <f t="shared" si="2"/>
        <v>1</v>
      </c>
      <c r="AL9" s="36">
        <f t="shared" si="18"/>
        <v>1</v>
      </c>
      <c r="AM9" s="36">
        <f t="shared" si="3"/>
        <v>3</v>
      </c>
      <c r="AN9" s="37">
        <f t="shared" si="4"/>
        <v>6.5</v>
      </c>
    </row>
    <row r="10" s="2" customFormat="1" ht="15" customHeight="1" spans="1:40">
      <c r="A10" s="39">
        <v>5</v>
      </c>
      <c r="B10" s="276" t="s">
        <v>75</v>
      </c>
      <c r="C10" s="95" t="s">
        <v>71</v>
      </c>
      <c r="D10" s="41">
        <v>18</v>
      </c>
      <c r="E10" s="29" t="str">
        <f t="shared" si="5"/>
        <v>W</v>
      </c>
      <c r="F10" s="41">
        <v>4</v>
      </c>
      <c r="G10" s="49" t="str">
        <f t="shared" si="6"/>
        <v>W</v>
      </c>
      <c r="H10" s="49">
        <v>16</v>
      </c>
      <c r="I10" s="29" t="str">
        <f t="shared" si="19"/>
        <v>W</v>
      </c>
      <c r="J10" s="41">
        <v>6</v>
      </c>
      <c r="K10" s="41" t="str">
        <f t="shared" si="7"/>
        <v>W</v>
      </c>
      <c r="L10" s="41">
        <v>14</v>
      </c>
      <c r="M10" s="41" t="str">
        <f t="shared" si="8"/>
        <v>W</v>
      </c>
      <c r="N10" s="41">
        <v>14</v>
      </c>
      <c r="O10" s="41" t="str">
        <f t="shared" si="9"/>
        <v>W</v>
      </c>
      <c r="P10" s="43">
        <v>46</v>
      </c>
      <c r="Q10" s="309" t="str">
        <f t="shared" si="10"/>
        <v>S</v>
      </c>
      <c r="R10" s="43">
        <v>12</v>
      </c>
      <c r="S10" s="43" t="str">
        <f t="shared" si="11"/>
        <v>W</v>
      </c>
      <c r="T10" s="42" t="s">
        <v>29</v>
      </c>
      <c r="U10" s="42" t="s">
        <v>29</v>
      </c>
      <c r="V10" s="44"/>
      <c r="W10" s="44"/>
      <c r="X10" s="44">
        <v>46</v>
      </c>
      <c r="Y10" s="44" t="str">
        <f t="shared" ref="Y10:Y29" si="21">IF(X10&gt;=75,"A",IF(X10&gt;=65,"B",IF(X10&gt;=50,"C",IF(X10&gt;=40,"S","W"))))</f>
        <v>S</v>
      </c>
      <c r="Z10" s="44"/>
      <c r="AA10" s="44"/>
      <c r="AB10" s="99">
        <v>15</v>
      </c>
      <c r="AC10" s="99" t="str">
        <f t="shared" si="13"/>
        <v>W</v>
      </c>
      <c r="AD10" s="99">
        <v>50</v>
      </c>
      <c r="AE10" s="99" t="str">
        <f t="shared" si="14"/>
        <v>C</v>
      </c>
      <c r="AF10" s="100">
        <f t="shared" si="15"/>
        <v>241</v>
      </c>
      <c r="AG10" s="101">
        <f t="shared" si="16"/>
        <v>20.0833333333333</v>
      </c>
      <c r="AH10" s="100">
        <f t="shared" si="17"/>
        <v>21</v>
      </c>
      <c r="AI10" s="36">
        <f t="shared" si="0"/>
        <v>0</v>
      </c>
      <c r="AJ10" s="36">
        <f t="shared" si="1"/>
        <v>0</v>
      </c>
      <c r="AK10" s="36">
        <f t="shared" si="2"/>
        <v>1</v>
      </c>
      <c r="AL10" s="36">
        <f t="shared" si="18"/>
        <v>2</v>
      </c>
      <c r="AM10" s="36">
        <f t="shared" si="3"/>
        <v>8</v>
      </c>
      <c r="AN10" s="37">
        <f t="shared" si="4"/>
        <v>1</v>
      </c>
    </row>
    <row r="11" s="2" customFormat="1" ht="15" customHeight="1" spans="1:40">
      <c r="A11" s="39">
        <v>6</v>
      </c>
      <c r="B11" s="276" t="s">
        <v>76</v>
      </c>
      <c r="C11" s="95" t="s">
        <v>71</v>
      </c>
      <c r="D11" s="29">
        <v>29</v>
      </c>
      <c r="E11" s="29" t="str">
        <f t="shared" si="5"/>
        <v>W</v>
      </c>
      <c r="F11" s="29">
        <v>37</v>
      </c>
      <c r="G11" s="49" t="str">
        <f t="shared" si="6"/>
        <v>W</v>
      </c>
      <c r="H11" s="49">
        <v>11</v>
      </c>
      <c r="I11" s="29" t="str">
        <f t="shared" si="19"/>
        <v>W</v>
      </c>
      <c r="J11" s="50">
        <v>11</v>
      </c>
      <c r="K11" s="41" t="str">
        <f t="shared" si="7"/>
        <v>W</v>
      </c>
      <c r="L11" s="41">
        <v>46</v>
      </c>
      <c r="M11" s="41" t="str">
        <f t="shared" si="8"/>
        <v>S</v>
      </c>
      <c r="N11" s="50">
        <v>18</v>
      </c>
      <c r="O11" s="41" t="str">
        <f t="shared" si="9"/>
        <v>W</v>
      </c>
      <c r="P11" s="51">
        <v>50</v>
      </c>
      <c r="Q11" s="309" t="str">
        <f t="shared" si="10"/>
        <v>C</v>
      </c>
      <c r="R11" s="51">
        <v>27</v>
      </c>
      <c r="S11" s="43" t="str">
        <f t="shared" si="11"/>
        <v>W</v>
      </c>
      <c r="T11" s="43">
        <v>26</v>
      </c>
      <c r="U11" s="43" t="str">
        <f t="shared" si="12"/>
        <v>W</v>
      </c>
      <c r="V11" s="52"/>
      <c r="W11" s="44"/>
      <c r="X11" s="52">
        <v>72</v>
      </c>
      <c r="Y11" s="44" t="str">
        <f t="shared" si="21"/>
        <v>B</v>
      </c>
      <c r="Z11" s="52"/>
      <c r="AA11" s="44"/>
      <c r="AB11" s="106">
        <v>31</v>
      </c>
      <c r="AC11" s="99" t="str">
        <f t="shared" si="13"/>
        <v>W</v>
      </c>
      <c r="AD11" s="334">
        <v>55</v>
      </c>
      <c r="AE11" s="99" t="str">
        <f t="shared" si="14"/>
        <v>C</v>
      </c>
      <c r="AF11" s="100">
        <f t="shared" si="15"/>
        <v>413</v>
      </c>
      <c r="AG11" s="101">
        <f t="shared" si="16"/>
        <v>34.4166666666667</v>
      </c>
      <c r="AH11" s="100">
        <f t="shared" si="17"/>
        <v>16</v>
      </c>
      <c r="AI11" s="36">
        <f t="shared" si="0"/>
        <v>0</v>
      </c>
      <c r="AJ11" s="36">
        <f t="shared" si="1"/>
        <v>1</v>
      </c>
      <c r="AK11" s="36">
        <f t="shared" si="2"/>
        <v>2</v>
      </c>
      <c r="AL11" s="36">
        <f t="shared" si="18"/>
        <v>1</v>
      </c>
      <c r="AM11" s="36">
        <f t="shared" si="3"/>
        <v>8</v>
      </c>
      <c r="AN11" s="37">
        <f t="shared" si="4"/>
        <v>0</v>
      </c>
    </row>
    <row r="12" s="2" customFormat="1" ht="15" customHeight="1" spans="1:40">
      <c r="A12" s="39">
        <v>7</v>
      </c>
      <c r="B12" s="276" t="s">
        <v>77</v>
      </c>
      <c r="C12" s="95" t="s">
        <v>71</v>
      </c>
      <c r="D12" s="29">
        <v>57</v>
      </c>
      <c r="E12" s="29" t="str">
        <f t="shared" si="5"/>
        <v>C</v>
      </c>
      <c r="F12" s="29">
        <v>33</v>
      </c>
      <c r="G12" s="49" t="str">
        <f t="shared" si="6"/>
        <v>W</v>
      </c>
      <c r="H12" s="335" t="s">
        <v>29</v>
      </c>
      <c r="I12" s="335" t="s">
        <v>29</v>
      </c>
      <c r="J12" s="335" t="s">
        <v>29</v>
      </c>
      <c r="K12" s="335" t="s">
        <v>29</v>
      </c>
      <c r="L12" s="41">
        <v>74</v>
      </c>
      <c r="M12" s="41" t="str">
        <f t="shared" ref="M12:M33" si="22">IF(L12&gt;=75,"A",IF(L12&gt;=65,"B",IF(L12&gt;=50,"C",IF(L12&gt;=40,"S","W"))))</f>
        <v>B</v>
      </c>
      <c r="N12" s="29">
        <v>43</v>
      </c>
      <c r="O12" s="41" t="str">
        <f t="shared" si="9"/>
        <v>S</v>
      </c>
      <c r="P12" s="51">
        <v>77</v>
      </c>
      <c r="Q12" s="309" t="str">
        <f t="shared" si="10"/>
        <v>A</v>
      </c>
      <c r="R12" s="51">
        <v>60</v>
      </c>
      <c r="S12" s="43" t="str">
        <f t="shared" si="11"/>
        <v>C</v>
      </c>
      <c r="T12" s="43">
        <v>42</v>
      </c>
      <c r="U12" s="43" t="str">
        <f t="shared" si="12"/>
        <v>S</v>
      </c>
      <c r="V12" s="52"/>
      <c r="W12" s="44"/>
      <c r="X12" s="52"/>
      <c r="Y12" s="44"/>
      <c r="Z12" s="52">
        <v>66</v>
      </c>
      <c r="AA12" s="44" t="str">
        <f>IF(Z12&gt;=75,"A",IF(Z12&gt;=65,"B",IF(Z12&gt;=50,"C",IF(Z12&gt;=40,"S","W"))))</f>
        <v>B</v>
      </c>
      <c r="AB12" s="106">
        <v>26</v>
      </c>
      <c r="AC12" s="99" t="str">
        <f t="shared" si="13"/>
        <v>W</v>
      </c>
      <c r="AD12" s="106">
        <v>70</v>
      </c>
      <c r="AE12" s="99" t="str">
        <f t="shared" si="14"/>
        <v>B</v>
      </c>
      <c r="AF12" s="100">
        <f t="shared" si="15"/>
        <v>548</v>
      </c>
      <c r="AG12" s="101">
        <f t="shared" si="16"/>
        <v>45.6666666666667</v>
      </c>
      <c r="AH12" s="100">
        <f t="shared" si="17"/>
        <v>9</v>
      </c>
      <c r="AI12" s="36">
        <f t="shared" si="0"/>
        <v>1</v>
      </c>
      <c r="AJ12" s="36">
        <f t="shared" si="1"/>
        <v>3</v>
      </c>
      <c r="AK12" s="36">
        <f t="shared" si="2"/>
        <v>2</v>
      </c>
      <c r="AL12" s="36">
        <f t="shared" si="18"/>
        <v>2</v>
      </c>
      <c r="AM12" s="36">
        <f t="shared" si="3"/>
        <v>2</v>
      </c>
      <c r="AN12" s="37">
        <f t="shared" si="4"/>
        <v>2</v>
      </c>
    </row>
    <row r="13" s="2" customFormat="1" ht="15" customHeight="1" spans="1:40">
      <c r="A13" s="347">
        <v>8</v>
      </c>
      <c r="B13" s="296" t="s">
        <v>78</v>
      </c>
      <c r="C13" s="403" t="s">
        <v>71</v>
      </c>
      <c r="D13" s="404" t="s">
        <v>29</v>
      </c>
      <c r="E13" s="404" t="s">
        <v>29</v>
      </c>
      <c r="F13" s="404" t="s">
        <v>29</v>
      </c>
      <c r="G13" s="404" t="s">
        <v>29</v>
      </c>
      <c r="H13" s="404" t="s">
        <v>29</v>
      </c>
      <c r="I13" s="404" t="s">
        <v>29</v>
      </c>
      <c r="J13" s="404" t="s">
        <v>29</v>
      </c>
      <c r="K13" s="404" t="s">
        <v>29</v>
      </c>
      <c r="L13" s="404" t="s">
        <v>29</v>
      </c>
      <c r="M13" s="404" t="s">
        <v>29</v>
      </c>
      <c r="N13" s="404" t="s">
        <v>29</v>
      </c>
      <c r="O13" s="404" t="s">
        <v>29</v>
      </c>
      <c r="P13" s="405" t="s">
        <v>29</v>
      </c>
      <c r="Q13" s="405" t="s">
        <v>29</v>
      </c>
      <c r="R13" s="405" t="s">
        <v>29</v>
      </c>
      <c r="S13" s="405" t="s">
        <v>29</v>
      </c>
      <c r="T13" s="405" t="s">
        <v>29</v>
      </c>
      <c r="U13" s="405" t="s">
        <v>29</v>
      </c>
      <c r="V13" s="405" t="s">
        <v>29</v>
      </c>
      <c r="W13" s="405" t="s">
        <v>29</v>
      </c>
      <c r="X13" s="405" t="s">
        <v>29</v>
      </c>
      <c r="Y13" s="405" t="s">
        <v>29</v>
      </c>
      <c r="Z13" s="405" t="s">
        <v>29</v>
      </c>
      <c r="AA13" s="405" t="s">
        <v>29</v>
      </c>
      <c r="AB13" s="405" t="s">
        <v>29</v>
      </c>
      <c r="AC13" s="405" t="s">
        <v>29</v>
      </c>
      <c r="AD13" s="405" t="s">
        <v>29</v>
      </c>
      <c r="AE13" s="405" t="s">
        <v>29</v>
      </c>
      <c r="AF13" s="300">
        <f t="shared" si="15"/>
        <v>0</v>
      </c>
      <c r="AG13" s="301">
        <f t="shared" si="16"/>
        <v>0</v>
      </c>
      <c r="AH13" s="300">
        <f t="shared" si="17"/>
        <v>27</v>
      </c>
      <c r="AI13" s="302">
        <f t="shared" si="0"/>
        <v>0</v>
      </c>
      <c r="AJ13" s="302">
        <f t="shared" si="1"/>
        <v>0</v>
      </c>
      <c r="AK13" s="302">
        <f t="shared" si="2"/>
        <v>0</v>
      </c>
      <c r="AL13" s="302">
        <f t="shared" si="18"/>
        <v>0</v>
      </c>
      <c r="AM13" s="302">
        <f t="shared" si="3"/>
        <v>0</v>
      </c>
      <c r="AN13" s="303">
        <f t="shared" si="4"/>
        <v>14</v>
      </c>
    </row>
    <row r="14" s="2" customFormat="1" ht="15" customHeight="1" spans="1:40">
      <c r="A14" s="39">
        <v>9</v>
      </c>
      <c r="B14" s="276" t="s">
        <v>79</v>
      </c>
      <c r="C14" s="95" t="s">
        <v>71</v>
      </c>
      <c r="D14" s="29">
        <v>71</v>
      </c>
      <c r="E14" s="29" t="str">
        <f t="shared" si="5"/>
        <v>B</v>
      </c>
      <c r="F14" s="29">
        <v>64</v>
      </c>
      <c r="G14" s="49" t="str">
        <f t="shared" si="6"/>
        <v>C</v>
      </c>
      <c r="H14" s="29">
        <v>48</v>
      </c>
      <c r="I14" s="29" t="str">
        <f t="shared" si="19"/>
        <v>S</v>
      </c>
      <c r="J14" s="29">
        <v>53</v>
      </c>
      <c r="K14" s="41" t="str">
        <f t="shared" si="7"/>
        <v>C</v>
      </c>
      <c r="L14" s="49">
        <v>74</v>
      </c>
      <c r="M14" s="41" t="str">
        <f t="shared" si="22"/>
        <v>B</v>
      </c>
      <c r="N14" s="50">
        <v>50</v>
      </c>
      <c r="O14" s="41" t="str">
        <f t="shared" si="9"/>
        <v>C</v>
      </c>
      <c r="P14" s="332">
        <v>86</v>
      </c>
      <c r="Q14" s="309" t="str">
        <f t="shared" si="10"/>
        <v>A</v>
      </c>
      <c r="R14" s="51">
        <v>76</v>
      </c>
      <c r="S14" s="43" t="str">
        <f t="shared" si="11"/>
        <v>A</v>
      </c>
      <c r="T14" s="43">
        <v>87</v>
      </c>
      <c r="U14" s="43" t="str">
        <f t="shared" si="12"/>
        <v>A</v>
      </c>
      <c r="V14" s="52">
        <v>73</v>
      </c>
      <c r="W14" s="44" t="str">
        <f t="shared" si="20"/>
        <v>B</v>
      </c>
      <c r="X14" s="52"/>
      <c r="Y14" s="44"/>
      <c r="Z14" s="52"/>
      <c r="AA14" s="44"/>
      <c r="AB14" s="106">
        <v>63</v>
      </c>
      <c r="AC14" s="99" t="str">
        <f t="shared" si="13"/>
        <v>C</v>
      </c>
      <c r="AD14" s="334">
        <v>70</v>
      </c>
      <c r="AE14" s="99" t="str">
        <f t="shared" si="14"/>
        <v>B</v>
      </c>
      <c r="AF14" s="100">
        <f t="shared" si="15"/>
        <v>815</v>
      </c>
      <c r="AG14" s="101">
        <f t="shared" si="16"/>
        <v>67.9166666666667</v>
      </c>
      <c r="AH14" s="100">
        <f t="shared" si="17"/>
        <v>2</v>
      </c>
      <c r="AI14" s="36">
        <f t="shared" si="0"/>
        <v>3</v>
      </c>
      <c r="AJ14" s="36">
        <f t="shared" si="1"/>
        <v>4</v>
      </c>
      <c r="AK14" s="36">
        <f t="shared" si="2"/>
        <v>4</v>
      </c>
      <c r="AL14" s="36">
        <f t="shared" si="18"/>
        <v>1</v>
      </c>
      <c r="AM14" s="36">
        <f t="shared" si="3"/>
        <v>0</v>
      </c>
      <c r="AN14" s="37">
        <f t="shared" si="4"/>
        <v>0</v>
      </c>
    </row>
    <row r="15" s="284" customFormat="1" ht="15" customHeight="1" spans="1:40">
      <c r="A15" s="39">
        <v>10</v>
      </c>
      <c r="B15" s="276" t="s">
        <v>80</v>
      </c>
      <c r="C15" s="95" t="s">
        <v>71</v>
      </c>
      <c r="D15" s="50">
        <v>20</v>
      </c>
      <c r="E15" s="29" t="str">
        <f t="shared" si="5"/>
        <v>W</v>
      </c>
      <c r="F15" s="29">
        <v>1</v>
      </c>
      <c r="G15" s="49" t="str">
        <f t="shared" si="6"/>
        <v>W</v>
      </c>
      <c r="H15" s="29">
        <v>12</v>
      </c>
      <c r="I15" s="29" t="str">
        <f t="shared" si="19"/>
        <v>W</v>
      </c>
      <c r="J15" s="50">
        <v>11</v>
      </c>
      <c r="K15" s="41" t="str">
        <f t="shared" si="7"/>
        <v>W</v>
      </c>
      <c r="L15" s="49">
        <v>25</v>
      </c>
      <c r="M15" s="41" t="str">
        <f t="shared" si="22"/>
        <v>W</v>
      </c>
      <c r="N15" s="49">
        <v>12</v>
      </c>
      <c r="O15" s="41" t="str">
        <f t="shared" si="9"/>
        <v>W</v>
      </c>
      <c r="P15" s="332">
        <v>10</v>
      </c>
      <c r="Q15" s="309" t="str">
        <f t="shared" si="10"/>
        <v>W</v>
      </c>
      <c r="R15" s="51">
        <v>12</v>
      </c>
      <c r="S15" s="43" t="str">
        <f t="shared" si="11"/>
        <v>W</v>
      </c>
      <c r="T15" s="43">
        <v>16</v>
      </c>
      <c r="U15" s="43" t="str">
        <f t="shared" si="12"/>
        <v>W</v>
      </c>
      <c r="V15" s="52">
        <v>36</v>
      </c>
      <c r="W15" s="44"/>
      <c r="X15" s="333" t="s">
        <v>29</v>
      </c>
      <c r="Y15" s="333" t="s">
        <v>29</v>
      </c>
      <c r="Z15" s="333"/>
      <c r="AA15" s="44"/>
      <c r="AB15" s="106">
        <v>18</v>
      </c>
      <c r="AC15" s="99" t="str">
        <f t="shared" si="13"/>
        <v>W</v>
      </c>
      <c r="AD15" s="334">
        <v>50</v>
      </c>
      <c r="AE15" s="99" t="str">
        <f t="shared" si="14"/>
        <v>C</v>
      </c>
      <c r="AF15" s="100">
        <f t="shared" si="15"/>
        <v>223</v>
      </c>
      <c r="AG15" s="101">
        <f t="shared" si="16"/>
        <v>18.5833333333333</v>
      </c>
      <c r="AH15" s="100">
        <f t="shared" si="17"/>
        <v>22</v>
      </c>
      <c r="AI15" s="36">
        <f t="shared" si="0"/>
        <v>0</v>
      </c>
      <c r="AJ15" s="36">
        <f t="shared" si="1"/>
        <v>0</v>
      </c>
      <c r="AK15" s="36">
        <f t="shared" si="2"/>
        <v>1</v>
      </c>
      <c r="AL15" s="36">
        <f t="shared" si="18"/>
        <v>0</v>
      </c>
      <c r="AM15" s="36">
        <f t="shared" si="3"/>
        <v>10</v>
      </c>
      <c r="AN15" s="37">
        <f t="shared" si="4"/>
        <v>1</v>
      </c>
    </row>
    <row r="16" s="2" customFormat="1" ht="15" customHeight="1" spans="1:40">
      <c r="A16" s="39">
        <v>11</v>
      </c>
      <c r="B16" s="276" t="s">
        <v>81</v>
      </c>
      <c r="C16" s="95" t="s">
        <v>71</v>
      </c>
      <c r="D16" s="335" t="s">
        <v>29</v>
      </c>
      <c r="E16" s="335" t="s">
        <v>29</v>
      </c>
      <c r="F16" s="29" t="s">
        <v>29</v>
      </c>
      <c r="G16" s="49" t="str">
        <f t="shared" si="6"/>
        <v>A</v>
      </c>
      <c r="H16" s="29">
        <v>10</v>
      </c>
      <c r="I16" s="29" t="str">
        <f t="shared" si="19"/>
        <v>W</v>
      </c>
      <c r="J16" s="335" t="s">
        <v>29</v>
      </c>
      <c r="K16" s="335" t="s">
        <v>29</v>
      </c>
      <c r="L16" s="335" t="s">
        <v>29</v>
      </c>
      <c r="M16" s="335" t="s">
        <v>29</v>
      </c>
      <c r="N16" s="335" t="s">
        <v>29</v>
      </c>
      <c r="O16" s="335" t="s">
        <v>29</v>
      </c>
      <c r="P16" s="336" t="s">
        <v>29</v>
      </c>
      <c r="Q16" s="336" t="s">
        <v>29</v>
      </c>
      <c r="R16" s="42" t="s">
        <v>29</v>
      </c>
      <c r="S16" s="42" t="s">
        <v>29</v>
      </c>
      <c r="T16" s="42" t="s">
        <v>29</v>
      </c>
      <c r="U16" s="42" t="s">
        <v>29</v>
      </c>
      <c r="V16" s="52"/>
      <c r="W16" s="44" t="str">
        <f t="shared" si="20"/>
        <v>W</v>
      </c>
      <c r="X16" s="52"/>
      <c r="Y16" s="44"/>
      <c r="Z16" s="52"/>
      <c r="AA16" s="44"/>
      <c r="AB16" s="337" t="s">
        <v>29</v>
      </c>
      <c r="AC16" s="337" t="s">
        <v>29</v>
      </c>
      <c r="AD16" s="334">
        <v>20</v>
      </c>
      <c r="AE16" s="99" t="str">
        <f t="shared" si="14"/>
        <v>W</v>
      </c>
      <c r="AF16" s="100">
        <f t="shared" si="15"/>
        <v>30</v>
      </c>
      <c r="AG16" s="101">
        <f t="shared" si="16"/>
        <v>2.5</v>
      </c>
      <c r="AH16" s="100">
        <f t="shared" si="17"/>
        <v>26</v>
      </c>
      <c r="AI16" s="36">
        <f t="shared" si="0"/>
        <v>1</v>
      </c>
      <c r="AJ16" s="36">
        <f t="shared" si="1"/>
        <v>0</v>
      </c>
      <c r="AK16" s="36">
        <f t="shared" si="2"/>
        <v>0</v>
      </c>
      <c r="AL16" s="36">
        <f t="shared" si="18"/>
        <v>0</v>
      </c>
      <c r="AM16" s="36">
        <f t="shared" si="3"/>
        <v>3</v>
      </c>
      <c r="AN16" s="37">
        <f t="shared" si="4"/>
        <v>8.5</v>
      </c>
    </row>
    <row r="17" s="2" customFormat="1" ht="15" customHeight="1" spans="1:40">
      <c r="A17" s="39">
        <v>12</v>
      </c>
      <c r="B17" s="276" t="s">
        <v>82</v>
      </c>
      <c r="C17" s="95" t="s">
        <v>71</v>
      </c>
      <c r="D17" s="29">
        <v>29</v>
      </c>
      <c r="E17" s="29" t="str">
        <f t="shared" si="5"/>
        <v>W</v>
      </c>
      <c r="F17" s="29">
        <v>30</v>
      </c>
      <c r="G17" s="49" t="str">
        <f t="shared" si="6"/>
        <v>W</v>
      </c>
      <c r="H17" s="29">
        <v>25</v>
      </c>
      <c r="I17" s="29" t="str">
        <f t="shared" si="19"/>
        <v>W</v>
      </c>
      <c r="J17" s="29">
        <v>24</v>
      </c>
      <c r="K17" s="41" t="str">
        <f t="shared" si="7"/>
        <v>W</v>
      </c>
      <c r="L17" s="41">
        <v>41</v>
      </c>
      <c r="M17" s="41" t="str">
        <f t="shared" si="22"/>
        <v>S</v>
      </c>
      <c r="N17" s="50">
        <v>22</v>
      </c>
      <c r="O17" s="41" t="str">
        <f t="shared" si="9"/>
        <v>W</v>
      </c>
      <c r="P17" s="51">
        <v>45</v>
      </c>
      <c r="Q17" s="309" t="str">
        <f t="shared" si="10"/>
        <v>S</v>
      </c>
      <c r="R17" s="51">
        <v>27</v>
      </c>
      <c r="S17" s="43" t="str">
        <f t="shared" si="11"/>
        <v>W</v>
      </c>
      <c r="T17" s="43">
        <v>58</v>
      </c>
      <c r="U17" s="43" t="str">
        <f>IF(T17&gt;=75,"A",IF(T17&gt;=65,"B",IF(T17&gt;=50,"C",IF(T17&gt;=40,"S","W"))))</f>
        <v>C</v>
      </c>
      <c r="V17" s="52">
        <v>59</v>
      </c>
      <c r="W17" s="44" t="str">
        <f t="shared" si="20"/>
        <v>C</v>
      </c>
      <c r="X17" s="52"/>
      <c r="Y17" s="44"/>
      <c r="Z17" s="52"/>
      <c r="AA17" s="44"/>
      <c r="AB17" s="106">
        <v>30</v>
      </c>
      <c r="AC17" s="99" t="str">
        <f t="shared" si="13"/>
        <v>W</v>
      </c>
      <c r="AD17" s="106">
        <v>58</v>
      </c>
      <c r="AE17" s="99" t="str">
        <f t="shared" si="14"/>
        <v>C</v>
      </c>
      <c r="AF17" s="100">
        <f t="shared" si="15"/>
        <v>448</v>
      </c>
      <c r="AG17" s="101">
        <f t="shared" si="16"/>
        <v>37.3333333333333</v>
      </c>
      <c r="AH17" s="100">
        <f t="shared" si="17"/>
        <v>14</v>
      </c>
      <c r="AI17" s="36">
        <f t="shared" si="0"/>
        <v>0</v>
      </c>
      <c r="AJ17" s="36">
        <f t="shared" si="1"/>
        <v>0</v>
      </c>
      <c r="AK17" s="36">
        <f t="shared" si="2"/>
        <v>3</v>
      </c>
      <c r="AL17" s="36">
        <f t="shared" si="18"/>
        <v>2</v>
      </c>
      <c r="AM17" s="36">
        <f t="shared" si="3"/>
        <v>7</v>
      </c>
      <c r="AN17" s="37">
        <f t="shared" si="4"/>
        <v>0</v>
      </c>
    </row>
    <row r="18" s="2" customFormat="1" ht="15" customHeight="1" spans="1:40">
      <c r="A18" s="39">
        <v>13</v>
      </c>
      <c r="B18" s="276" t="s">
        <v>83</v>
      </c>
      <c r="C18" s="95" t="s">
        <v>71</v>
      </c>
      <c r="D18" s="29">
        <v>37</v>
      </c>
      <c r="E18" s="29" t="str">
        <f t="shared" si="5"/>
        <v>W</v>
      </c>
      <c r="F18" s="29">
        <v>23</v>
      </c>
      <c r="G18" s="49" t="str">
        <f t="shared" si="6"/>
        <v>W</v>
      </c>
      <c r="H18" s="29">
        <v>37</v>
      </c>
      <c r="I18" s="29" t="str">
        <f t="shared" si="19"/>
        <v>W</v>
      </c>
      <c r="J18" s="29">
        <v>19</v>
      </c>
      <c r="K18" s="41" t="str">
        <f t="shared" si="7"/>
        <v>W</v>
      </c>
      <c r="L18" s="41">
        <v>45</v>
      </c>
      <c r="M18" s="41" t="str">
        <f t="shared" si="22"/>
        <v>S</v>
      </c>
      <c r="N18" s="50">
        <v>35</v>
      </c>
      <c r="O18" s="41" t="str">
        <f t="shared" si="9"/>
        <v>W</v>
      </c>
      <c r="P18" s="51">
        <v>36</v>
      </c>
      <c r="Q18" s="309" t="str">
        <f t="shared" si="10"/>
        <v>W</v>
      </c>
      <c r="R18" s="51">
        <v>36</v>
      </c>
      <c r="S18" s="43" t="str">
        <f t="shared" si="11"/>
        <v>W</v>
      </c>
      <c r="T18" s="43">
        <v>28</v>
      </c>
      <c r="U18" s="43" t="str">
        <f t="shared" si="12"/>
        <v>W</v>
      </c>
      <c r="V18" s="52"/>
      <c r="W18" s="44"/>
      <c r="X18" s="52">
        <v>52</v>
      </c>
      <c r="Y18" s="44" t="str">
        <f t="shared" si="21"/>
        <v>C</v>
      </c>
      <c r="Z18" s="52"/>
      <c r="AA18" s="44"/>
      <c r="AB18" s="106">
        <v>27</v>
      </c>
      <c r="AC18" s="99" t="str">
        <f t="shared" si="13"/>
        <v>W</v>
      </c>
      <c r="AD18" s="106">
        <v>70</v>
      </c>
      <c r="AE18" s="99" t="str">
        <f t="shared" si="14"/>
        <v>B</v>
      </c>
      <c r="AF18" s="100">
        <f t="shared" si="15"/>
        <v>445</v>
      </c>
      <c r="AG18" s="101">
        <f t="shared" si="16"/>
        <v>37.0833333333333</v>
      </c>
      <c r="AH18" s="100">
        <f t="shared" si="17"/>
        <v>15</v>
      </c>
      <c r="AI18" s="36">
        <f t="shared" si="0"/>
        <v>0</v>
      </c>
      <c r="AJ18" s="36">
        <f t="shared" si="1"/>
        <v>1</v>
      </c>
      <c r="AK18" s="36">
        <f t="shared" si="2"/>
        <v>1</v>
      </c>
      <c r="AL18" s="36">
        <f t="shared" si="18"/>
        <v>1</v>
      </c>
      <c r="AM18" s="36">
        <f t="shared" si="3"/>
        <v>9</v>
      </c>
      <c r="AN18" s="37">
        <f t="shared" si="4"/>
        <v>0</v>
      </c>
    </row>
    <row r="19" s="2" customFormat="1" ht="15" customHeight="1" spans="1:40">
      <c r="A19" s="39">
        <v>14</v>
      </c>
      <c r="B19" s="276" t="s">
        <v>84</v>
      </c>
      <c r="C19" s="95" t="s">
        <v>71</v>
      </c>
      <c r="D19" s="29">
        <v>28</v>
      </c>
      <c r="E19" s="29" t="str">
        <f t="shared" si="5"/>
        <v>W</v>
      </c>
      <c r="F19" s="29">
        <v>19</v>
      </c>
      <c r="G19" s="49" t="str">
        <f t="shared" si="6"/>
        <v>W</v>
      </c>
      <c r="H19" s="29">
        <v>14</v>
      </c>
      <c r="I19" s="29" t="str">
        <f t="shared" si="19"/>
        <v>W</v>
      </c>
      <c r="J19" s="50">
        <v>26</v>
      </c>
      <c r="K19" s="41" t="str">
        <f t="shared" si="7"/>
        <v>W</v>
      </c>
      <c r="L19" s="41">
        <v>27</v>
      </c>
      <c r="M19" s="41" t="str">
        <f t="shared" si="22"/>
        <v>W</v>
      </c>
      <c r="N19" s="335" t="s">
        <v>29</v>
      </c>
      <c r="O19" s="335" t="s">
        <v>29</v>
      </c>
      <c r="P19" s="51">
        <v>29</v>
      </c>
      <c r="Q19" s="309" t="str">
        <f t="shared" si="10"/>
        <v>W</v>
      </c>
      <c r="R19" s="51">
        <v>27</v>
      </c>
      <c r="S19" s="43" t="str">
        <f t="shared" si="11"/>
        <v>W</v>
      </c>
      <c r="T19" s="43">
        <v>25</v>
      </c>
      <c r="U19" s="43" t="str">
        <f t="shared" si="12"/>
        <v>W</v>
      </c>
      <c r="V19" s="52"/>
      <c r="W19" s="44"/>
      <c r="X19" s="333" t="s">
        <v>29</v>
      </c>
      <c r="Y19" s="333" t="s">
        <v>29</v>
      </c>
      <c r="Z19" s="52"/>
      <c r="AA19" s="44"/>
      <c r="AB19" s="106">
        <v>30</v>
      </c>
      <c r="AC19" s="99" t="str">
        <f t="shared" si="13"/>
        <v>W</v>
      </c>
      <c r="AD19" s="106">
        <v>70</v>
      </c>
      <c r="AE19" s="99" t="str">
        <f t="shared" si="14"/>
        <v>B</v>
      </c>
      <c r="AF19" s="100">
        <f t="shared" si="15"/>
        <v>295</v>
      </c>
      <c r="AG19" s="101">
        <f t="shared" si="16"/>
        <v>24.5833333333333</v>
      </c>
      <c r="AH19" s="100">
        <f t="shared" si="17"/>
        <v>19</v>
      </c>
      <c r="AI19" s="36">
        <f t="shared" si="0"/>
        <v>0</v>
      </c>
      <c r="AJ19" s="36">
        <f t="shared" si="1"/>
        <v>1</v>
      </c>
      <c r="AK19" s="36">
        <f t="shared" si="2"/>
        <v>0</v>
      </c>
      <c r="AL19" s="36">
        <f t="shared" si="18"/>
        <v>0</v>
      </c>
      <c r="AM19" s="36">
        <f t="shared" si="3"/>
        <v>9</v>
      </c>
      <c r="AN19" s="37">
        <f t="shared" si="4"/>
        <v>2</v>
      </c>
    </row>
    <row r="20" s="2" customFormat="1" ht="15" customHeight="1" spans="1:40">
      <c r="A20" s="39">
        <v>15</v>
      </c>
      <c r="B20" s="276" t="s">
        <v>85</v>
      </c>
      <c r="C20" s="95" t="s">
        <v>71</v>
      </c>
      <c r="D20" s="29">
        <v>59</v>
      </c>
      <c r="E20" s="29" t="str">
        <f t="shared" si="5"/>
        <v>C</v>
      </c>
      <c r="F20" s="29">
        <v>33</v>
      </c>
      <c r="G20" s="49" t="str">
        <f t="shared" si="6"/>
        <v>W</v>
      </c>
      <c r="H20" s="29">
        <v>46</v>
      </c>
      <c r="I20" s="29" t="str">
        <f t="shared" si="19"/>
        <v>S</v>
      </c>
      <c r="J20" s="50">
        <v>29</v>
      </c>
      <c r="K20" s="41" t="str">
        <f t="shared" si="7"/>
        <v>W</v>
      </c>
      <c r="L20" s="41">
        <v>54</v>
      </c>
      <c r="M20" s="41" t="str">
        <f t="shared" si="22"/>
        <v>C</v>
      </c>
      <c r="N20" s="50">
        <v>44</v>
      </c>
      <c r="O20" s="41" t="str">
        <f t="shared" si="9"/>
        <v>S</v>
      </c>
      <c r="P20" s="51">
        <v>70</v>
      </c>
      <c r="Q20" s="309" t="str">
        <f t="shared" si="10"/>
        <v>B</v>
      </c>
      <c r="R20" s="51">
        <v>55</v>
      </c>
      <c r="S20" s="43" t="str">
        <f t="shared" si="11"/>
        <v>C</v>
      </c>
      <c r="T20" s="43">
        <v>74</v>
      </c>
      <c r="U20" s="43" t="str">
        <f t="shared" si="12"/>
        <v>B</v>
      </c>
      <c r="V20" s="52"/>
      <c r="W20" s="44"/>
      <c r="X20" s="52"/>
      <c r="Y20" s="44"/>
      <c r="Z20" s="52">
        <v>79</v>
      </c>
      <c r="AA20" s="44" t="str">
        <f t="shared" ref="AA20" si="23">IF(Z20&gt;=75,"A",IF(Z20&gt;=65,"B",IF(Z20&gt;=50,"C",IF(Z20&gt;=40,"S","W"))))</f>
        <v>A</v>
      </c>
      <c r="AB20" s="106">
        <v>48</v>
      </c>
      <c r="AC20" s="99" t="str">
        <f t="shared" si="13"/>
        <v>S</v>
      </c>
      <c r="AD20" s="106">
        <v>75</v>
      </c>
      <c r="AE20" s="99" t="str">
        <f t="shared" si="14"/>
        <v>A</v>
      </c>
      <c r="AF20" s="100">
        <f t="shared" si="15"/>
        <v>666</v>
      </c>
      <c r="AG20" s="101">
        <f t="shared" si="16"/>
        <v>55.5</v>
      </c>
      <c r="AH20" s="100">
        <f t="shared" si="17"/>
        <v>7</v>
      </c>
      <c r="AI20" s="36">
        <f t="shared" si="0"/>
        <v>2</v>
      </c>
      <c r="AJ20" s="36">
        <f t="shared" si="1"/>
        <v>2</v>
      </c>
      <c r="AK20" s="36">
        <f t="shared" si="2"/>
        <v>3</v>
      </c>
      <c r="AL20" s="36">
        <f t="shared" si="18"/>
        <v>3</v>
      </c>
      <c r="AM20" s="36">
        <f t="shared" ref="AM20:AM33" si="24">COUNTIF(D20:AE20,"W")</f>
        <v>2</v>
      </c>
      <c r="AN20" s="37">
        <f t="shared" si="4"/>
        <v>0</v>
      </c>
    </row>
    <row r="21" s="2" customFormat="1" ht="15" customHeight="1" spans="1:40">
      <c r="A21" s="39">
        <v>16</v>
      </c>
      <c r="B21" s="276" t="s">
        <v>86</v>
      </c>
      <c r="C21" s="95" t="s">
        <v>71</v>
      </c>
      <c r="D21" s="29">
        <v>39</v>
      </c>
      <c r="E21" s="29" t="str">
        <f t="shared" si="5"/>
        <v>W</v>
      </c>
      <c r="F21" s="50">
        <v>43</v>
      </c>
      <c r="G21" s="49" t="str">
        <f t="shared" si="6"/>
        <v>S</v>
      </c>
      <c r="H21" s="29">
        <v>39</v>
      </c>
      <c r="I21" s="29" t="str">
        <f t="shared" si="19"/>
        <v>W</v>
      </c>
      <c r="J21" s="50">
        <v>30</v>
      </c>
      <c r="K21" s="41" t="str">
        <f t="shared" si="7"/>
        <v>W</v>
      </c>
      <c r="L21" s="49">
        <v>53</v>
      </c>
      <c r="M21" s="41" t="str">
        <f t="shared" si="22"/>
        <v>C</v>
      </c>
      <c r="N21" s="50">
        <v>40</v>
      </c>
      <c r="O21" s="41" t="str">
        <f t="shared" si="9"/>
        <v>S</v>
      </c>
      <c r="P21" s="51">
        <v>80</v>
      </c>
      <c r="Q21" s="309" t="str">
        <f t="shared" si="10"/>
        <v>A</v>
      </c>
      <c r="R21" s="332">
        <v>59</v>
      </c>
      <c r="S21" s="43" t="str">
        <f t="shared" si="11"/>
        <v>C</v>
      </c>
      <c r="T21" s="43">
        <v>75</v>
      </c>
      <c r="U21" s="43" t="str">
        <f t="shared" si="12"/>
        <v>A</v>
      </c>
      <c r="V21" s="52"/>
      <c r="W21" s="44"/>
      <c r="X21" s="52">
        <v>83</v>
      </c>
      <c r="Y21" s="44" t="str">
        <f t="shared" si="21"/>
        <v>A</v>
      </c>
      <c r="Z21" s="52"/>
      <c r="AA21" s="44"/>
      <c r="AB21" s="106">
        <v>76</v>
      </c>
      <c r="AC21" s="99" t="str">
        <f t="shared" si="13"/>
        <v>A</v>
      </c>
      <c r="AD21" s="334">
        <v>55</v>
      </c>
      <c r="AE21" s="99" t="str">
        <f t="shared" si="14"/>
        <v>C</v>
      </c>
      <c r="AF21" s="100">
        <f t="shared" si="15"/>
        <v>672</v>
      </c>
      <c r="AG21" s="101">
        <f t="shared" si="16"/>
        <v>56</v>
      </c>
      <c r="AH21" s="100">
        <f t="shared" si="17"/>
        <v>6</v>
      </c>
      <c r="AI21" s="36">
        <f t="shared" si="0"/>
        <v>4</v>
      </c>
      <c r="AJ21" s="36">
        <f t="shared" si="1"/>
        <v>0</v>
      </c>
      <c r="AK21" s="36">
        <f t="shared" si="2"/>
        <v>3</v>
      </c>
      <c r="AL21" s="36">
        <f t="shared" si="18"/>
        <v>2</v>
      </c>
      <c r="AM21" s="36">
        <f t="shared" si="24"/>
        <v>3</v>
      </c>
      <c r="AN21" s="37">
        <f t="shared" si="4"/>
        <v>0</v>
      </c>
    </row>
    <row r="22" s="2" customFormat="1" ht="15" customHeight="1" spans="1:40">
      <c r="A22" s="39">
        <v>17</v>
      </c>
      <c r="B22" s="276" t="s">
        <v>87</v>
      </c>
      <c r="C22" s="95" t="s">
        <v>71</v>
      </c>
      <c r="D22" s="29">
        <v>25</v>
      </c>
      <c r="E22" s="29" t="str">
        <f t="shared" si="5"/>
        <v>W</v>
      </c>
      <c r="F22" s="50">
        <v>11</v>
      </c>
      <c r="G22" s="49" t="str">
        <f t="shared" si="6"/>
        <v>W</v>
      </c>
      <c r="H22" s="29">
        <v>22</v>
      </c>
      <c r="I22" s="29" t="str">
        <f t="shared" si="19"/>
        <v>W</v>
      </c>
      <c r="J22" s="50">
        <v>12</v>
      </c>
      <c r="K22" s="41" t="str">
        <f t="shared" si="7"/>
        <v>W</v>
      </c>
      <c r="L22" s="49">
        <v>27</v>
      </c>
      <c r="M22" s="41" t="str">
        <f t="shared" si="22"/>
        <v>W</v>
      </c>
      <c r="N22" s="50">
        <v>20</v>
      </c>
      <c r="O22" s="41" t="str">
        <f t="shared" si="9"/>
        <v>W</v>
      </c>
      <c r="P22" s="51">
        <v>12</v>
      </c>
      <c r="Q22" s="309" t="str">
        <f t="shared" si="10"/>
        <v>W</v>
      </c>
      <c r="R22" s="332">
        <v>15</v>
      </c>
      <c r="S22" s="43" t="str">
        <f t="shared" si="11"/>
        <v>W</v>
      </c>
      <c r="T22" s="309">
        <v>34</v>
      </c>
      <c r="U22" s="43" t="str">
        <f t="shared" si="12"/>
        <v>W</v>
      </c>
      <c r="V22" s="52">
        <v>56</v>
      </c>
      <c r="W22" s="44" t="str">
        <f t="shared" si="20"/>
        <v>C</v>
      </c>
      <c r="X22" s="52"/>
      <c r="Y22" s="44"/>
      <c r="Z22" s="52"/>
      <c r="AA22" s="44"/>
      <c r="AB22" s="106">
        <v>15</v>
      </c>
      <c r="AC22" s="99" t="str">
        <f t="shared" si="13"/>
        <v>W</v>
      </c>
      <c r="AD22" s="334">
        <v>72</v>
      </c>
      <c r="AE22" s="99" t="str">
        <f t="shared" si="14"/>
        <v>B</v>
      </c>
      <c r="AF22" s="100">
        <f t="shared" si="15"/>
        <v>321</v>
      </c>
      <c r="AG22" s="101">
        <f t="shared" si="16"/>
        <v>26.75</v>
      </c>
      <c r="AH22" s="100">
        <f t="shared" si="17"/>
        <v>18</v>
      </c>
      <c r="AI22" s="36">
        <f t="shared" si="0"/>
        <v>0</v>
      </c>
      <c r="AJ22" s="36">
        <f t="shared" si="1"/>
        <v>1</v>
      </c>
      <c r="AK22" s="36">
        <f t="shared" si="2"/>
        <v>1</v>
      </c>
      <c r="AL22" s="36">
        <f t="shared" si="18"/>
        <v>0</v>
      </c>
      <c r="AM22" s="36">
        <f t="shared" si="24"/>
        <v>10</v>
      </c>
      <c r="AN22" s="37">
        <f t="shared" si="4"/>
        <v>0</v>
      </c>
    </row>
    <row r="23" s="2" customFormat="1" ht="15" customHeight="1" spans="1:40">
      <c r="A23" s="39">
        <v>18</v>
      </c>
      <c r="B23" s="276" t="s">
        <v>88</v>
      </c>
      <c r="C23" s="95" t="s">
        <v>71</v>
      </c>
      <c r="D23" s="29">
        <v>55</v>
      </c>
      <c r="E23" s="29" t="str">
        <f t="shared" si="5"/>
        <v>C</v>
      </c>
      <c r="F23" s="50">
        <v>63</v>
      </c>
      <c r="G23" s="49" t="str">
        <f t="shared" si="6"/>
        <v>C</v>
      </c>
      <c r="H23" s="29">
        <v>54</v>
      </c>
      <c r="I23" s="29" t="str">
        <f t="shared" si="19"/>
        <v>C</v>
      </c>
      <c r="J23" s="29">
        <v>47</v>
      </c>
      <c r="K23" s="41" t="str">
        <f t="shared" si="7"/>
        <v>S</v>
      </c>
      <c r="L23" s="50">
        <v>63</v>
      </c>
      <c r="M23" s="41" t="str">
        <f t="shared" si="22"/>
        <v>C</v>
      </c>
      <c r="N23" s="50">
        <v>45</v>
      </c>
      <c r="O23" s="41" t="str">
        <f t="shared" si="9"/>
        <v>S</v>
      </c>
      <c r="P23" s="331">
        <v>77</v>
      </c>
      <c r="Q23" s="330" t="str">
        <f t="shared" si="10"/>
        <v>A</v>
      </c>
      <c r="R23" s="406">
        <v>61</v>
      </c>
      <c r="S23" s="43" t="str">
        <f t="shared" si="11"/>
        <v>C</v>
      </c>
      <c r="T23" s="406">
        <v>66</v>
      </c>
      <c r="U23" s="43" t="str">
        <f t="shared" si="12"/>
        <v>B</v>
      </c>
      <c r="V23" s="52"/>
      <c r="W23" s="44"/>
      <c r="X23" s="52"/>
      <c r="Y23" s="44"/>
      <c r="Z23" s="52">
        <v>85</v>
      </c>
      <c r="AA23" s="52" t="str">
        <f>IF(Z23&gt;=75,"A",IF(Z23&gt;=65,"B",IF(Z23&gt;=50,"C",IF(Z23&gt;=40,"S","W"))))</f>
        <v>A</v>
      </c>
      <c r="AB23" s="106">
        <v>65</v>
      </c>
      <c r="AC23" s="99" t="str">
        <f t="shared" si="13"/>
        <v>B</v>
      </c>
      <c r="AD23" s="334">
        <v>75</v>
      </c>
      <c r="AE23" s="99" t="str">
        <f t="shared" si="14"/>
        <v>A</v>
      </c>
      <c r="AF23" s="100">
        <f t="shared" si="15"/>
        <v>756</v>
      </c>
      <c r="AG23" s="101">
        <f t="shared" si="16"/>
        <v>63</v>
      </c>
      <c r="AH23" s="100">
        <f t="shared" si="17"/>
        <v>3</v>
      </c>
      <c r="AI23" s="36">
        <f t="shared" si="0"/>
        <v>3</v>
      </c>
      <c r="AJ23" s="36">
        <f t="shared" si="1"/>
        <v>2</v>
      </c>
      <c r="AK23" s="36">
        <f t="shared" si="2"/>
        <v>5</v>
      </c>
      <c r="AL23" s="36">
        <f t="shared" si="18"/>
        <v>2</v>
      </c>
      <c r="AM23" s="36">
        <f t="shared" si="24"/>
        <v>0</v>
      </c>
      <c r="AN23" s="37">
        <f t="shared" si="4"/>
        <v>0</v>
      </c>
    </row>
    <row r="24" s="2" customFormat="1" ht="15" customHeight="1" spans="1:40">
      <c r="A24" s="39">
        <v>19</v>
      </c>
      <c r="B24" s="276" t="s">
        <v>89</v>
      </c>
      <c r="C24" s="95" t="s">
        <v>71</v>
      </c>
      <c r="D24" s="29">
        <v>37</v>
      </c>
      <c r="E24" s="29" t="str">
        <f t="shared" si="5"/>
        <v>W</v>
      </c>
      <c r="F24" s="50">
        <v>31</v>
      </c>
      <c r="G24" s="49" t="str">
        <f t="shared" si="6"/>
        <v>W</v>
      </c>
      <c r="H24" s="29">
        <v>24</v>
      </c>
      <c r="I24" s="29" t="str">
        <f t="shared" si="19"/>
        <v>W</v>
      </c>
      <c r="J24" s="50">
        <v>17</v>
      </c>
      <c r="K24" s="41" t="str">
        <f t="shared" si="7"/>
        <v>W</v>
      </c>
      <c r="L24" s="49">
        <v>39</v>
      </c>
      <c r="M24" s="41" t="str">
        <f t="shared" si="22"/>
        <v>W</v>
      </c>
      <c r="N24" s="50">
        <v>33</v>
      </c>
      <c r="O24" s="41" t="str">
        <f t="shared" si="9"/>
        <v>W</v>
      </c>
      <c r="P24" s="51">
        <v>47</v>
      </c>
      <c r="Q24" s="309" t="str">
        <f t="shared" si="10"/>
        <v>S</v>
      </c>
      <c r="R24" s="51">
        <v>42</v>
      </c>
      <c r="S24" s="43" t="str">
        <f t="shared" si="11"/>
        <v>S</v>
      </c>
      <c r="T24" s="43">
        <v>54</v>
      </c>
      <c r="U24" s="43" t="str">
        <f t="shared" si="12"/>
        <v>C</v>
      </c>
      <c r="V24" s="52">
        <v>71</v>
      </c>
      <c r="W24" s="44"/>
      <c r="X24" s="333" t="s">
        <v>29</v>
      </c>
      <c r="Y24" s="333" t="s">
        <v>29</v>
      </c>
      <c r="Z24" s="52"/>
      <c r="AA24" s="44"/>
      <c r="AB24" s="106">
        <v>33</v>
      </c>
      <c r="AC24" s="99" t="str">
        <f t="shared" si="13"/>
        <v>W</v>
      </c>
      <c r="AD24" s="334">
        <v>70</v>
      </c>
      <c r="AE24" s="99" t="str">
        <f t="shared" si="14"/>
        <v>B</v>
      </c>
      <c r="AF24" s="100">
        <f t="shared" si="15"/>
        <v>498</v>
      </c>
      <c r="AG24" s="101">
        <f t="shared" si="16"/>
        <v>41.5</v>
      </c>
      <c r="AH24" s="100">
        <f t="shared" si="17"/>
        <v>11</v>
      </c>
      <c r="AI24" s="36">
        <f t="shared" si="0"/>
        <v>0</v>
      </c>
      <c r="AJ24" s="36">
        <f t="shared" si="1"/>
        <v>1</v>
      </c>
      <c r="AK24" s="36">
        <f t="shared" si="2"/>
        <v>1</v>
      </c>
      <c r="AL24" s="36">
        <f t="shared" si="18"/>
        <v>2</v>
      </c>
      <c r="AM24" s="36">
        <f t="shared" si="24"/>
        <v>7</v>
      </c>
      <c r="AN24" s="37">
        <f t="shared" si="4"/>
        <v>1</v>
      </c>
    </row>
    <row r="25" s="2" customFormat="1" ht="15" customHeight="1" spans="1:40">
      <c r="A25" s="39">
        <v>20</v>
      </c>
      <c r="B25" s="276" t="s">
        <v>90</v>
      </c>
      <c r="C25" s="95" t="s">
        <v>71</v>
      </c>
      <c r="D25" s="335" t="s">
        <v>29</v>
      </c>
      <c r="E25" s="335" t="s">
        <v>29</v>
      </c>
      <c r="F25" s="335" t="s">
        <v>29</v>
      </c>
      <c r="G25" s="335" t="s">
        <v>29</v>
      </c>
      <c r="H25" s="335" t="s">
        <v>29</v>
      </c>
      <c r="I25" s="335" t="s">
        <v>29</v>
      </c>
      <c r="J25" s="335" t="s">
        <v>29</v>
      </c>
      <c r="K25" s="335" t="s">
        <v>29</v>
      </c>
      <c r="L25" s="335" t="s">
        <v>29</v>
      </c>
      <c r="M25" s="335" t="s">
        <v>29</v>
      </c>
      <c r="N25" s="335" t="s">
        <v>29</v>
      </c>
      <c r="O25" s="335" t="s">
        <v>29</v>
      </c>
      <c r="P25" s="336" t="s">
        <v>29</v>
      </c>
      <c r="Q25" s="336" t="s">
        <v>29</v>
      </c>
      <c r="R25" s="42" t="s">
        <v>29</v>
      </c>
      <c r="S25" s="42" t="s">
        <v>29</v>
      </c>
      <c r="T25" s="42" t="s">
        <v>29</v>
      </c>
      <c r="U25" s="42" t="s">
        <v>29</v>
      </c>
      <c r="V25" s="52"/>
      <c r="W25" s="44"/>
      <c r="X25" s="333" t="s">
        <v>29</v>
      </c>
      <c r="Y25" s="333" t="s">
        <v>29</v>
      </c>
      <c r="Z25" s="52"/>
      <c r="AA25" s="44"/>
      <c r="AB25" s="337" t="s">
        <v>29</v>
      </c>
      <c r="AC25" s="337" t="s">
        <v>29</v>
      </c>
      <c r="AD25" s="337" t="s">
        <v>29</v>
      </c>
      <c r="AE25" s="337" t="s">
        <v>29</v>
      </c>
      <c r="AF25" s="100">
        <f t="shared" si="15"/>
        <v>0</v>
      </c>
      <c r="AG25" s="101">
        <f t="shared" si="16"/>
        <v>0</v>
      </c>
      <c r="AH25" s="100">
        <f t="shared" si="17"/>
        <v>27</v>
      </c>
      <c r="AI25" s="36">
        <f t="shared" si="0"/>
        <v>0</v>
      </c>
      <c r="AJ25" s="36">
        <f t="shared" si="1"/>
        <v>0</v>
      </c>
      <c r="AK25" s="36">
        <f t="shared" si="2"/>
        <v>0</v>
      </c>
      <c r="AL25" s="36">
        <f t="shared" si="18"/>
        <v>0</v>
      </c>
      <c r="AM25" s="36">
        <f t="shared" si="24"/>
        <v>0</v>
      </c>
      <c r="AN25" s="37">
        <f t="shared" si="4"/>
        <v>12</v>
      </c>
    </row>
    <row r="26" s="2" customFormat="1" ht="15" customHeight="1" spans="1:40">
      <c r="A26" s="39">
        <v>21</v>
      </c>
      <c r="B26" s="276" t="s">
        <v>91</v>
      </c>
      <c r="C26" s="95" t="s">
        <v>71</v>
      </c>
      <c r="D26" s="29">
        <v>41</v>
      </c>
      <c r="E26" s="29" t="str">
        <f t="shared" si="5"/>
        <v>S</v>
      </c>
      <c r="F26" s="29">
        <v>48</v>
      </c>
      <c r="G26" s="49" t="str">
        <f t="shared" si="6"/>
        <v>S</v>
      </c>
      <c r="H26" s="29">
        <v>61</v>
      </c>
      <c r="I26" s="29" t="str">
        <f t="shared" si="19"/>
        <v>C</v>
      </c>
      <c r="J26" s="50">
        <v>48</v>
      </c>
      <c r="K26" s="41" t="str">
        <f t="shared" si="7"/>
        <v>S</v>
      </c>
      <c r="L26" s="41">
        <v>48</v>
      </c>
      <c r="M26" s="41" t="str">
        <f t="shared" si="22"/>
        <v>S</v>
      </c>
      <c r="N26" s="50">
        <v>67</v>
      </c>
      <c r="O26" s="41" t="str">
        <f t="shared" si="9"/>
        <v>B</v>
      </c>
      <c r="P26" s="51">
        <v>89</v>
      </c>
      <c r="Q26" s="309" t="str">
        <f t="shared" si="10"/>
        <v>A</v>
      </c>
      <c r="R26" s="51">
        <v>64</v>
      </c>
      <c r="S26" s="43" t="str">
        <f t="shared" si="11"/>
        <v>C</v>
      </c>
      <c r="T26" s="43">
        <v>78</v>
      </c>
      <c r="U26" s="43" t="str">
        <f t="shared" si="12"/>
        <v>A</v>
      </c>
      <c r="V26" s="52"/>
      <c r="W26" s="44"/>
      <c r="X26" s="52">
        <v>78</v>
      </c>
      <c r="Y26" s="44" t="str">
        <f t="shared" si="21"/>
        <v>A</v>
      </c>
      <c r="Z26" s="52"/>
      <c r="AA26" s="44"/>
      <c r="AB26" s="106">
        <v>41</v>
      </c>
      <c r="AC26" s="99" t="str">
        <f t="shared" si="13"/>
        <v>S</v>
      </c>
      <c r="AD26" s="334">
        <v>72</v>
      </c>
      <c r="AE26" s="99" t="str">
        <f t="shared" si="14"/>
        <v>B</v>
      </c>
      <c r="AF26" s="100">
        <f t="shared" si="15"/>
        <v>735</v>
      </c>
      <c r="AG26" s="101">
        <f t="shared" si="16"/>
        <v>61.25</v>
      </c>
      <c r="AH26" s="100">
        <f t="shared" si="17"/>
        <v>4</v>
      </c>
      <c r="AI26" s="36">
        <f t="shared" si="0"/>
        <v>3</v>
      </c>
      <c r="AJ26" s="36">
        <f t="shared" si="1"/>
        <v>2</v>
      </c>
      <c r="AK26" s="36">
        <f t="shared" si="2"/>
        <v>2</v>
      </c>
      <c r="AL26" s="36">
        <f t="shared" si="18"/>
        <v>5</v>
      </c>
      <c r="AM26" s="36">
        <f t="shared" si="24"/>
        <v>0</v>
      </c>
      <c r="AN26" s="37">
        <f t="shared" si="4"/>
        <v>0</v>
      </c>
    </row>
    <row r="27" s="2" customFormat="1" ht="15" customHeight="1" spans="1:40">
      <c r="A27" s="39">
        <v>22</v>
      </c>
      <c r="B27" s="276" t="s">
        <v>92</v>
      </c>
      <c r="C27" s="95" t="s">
        <v>71</v>
      </c>
      <c r="D27" s="29">
        <v>53</v>
      </c>
      <c r="E27" s="29" t="str">
        <f t="shared" si="5"/>
        <v>C</v>
      </c>
      <c r="F27" s="29">
        <v>35</v>
      </c>
      <c r="G27" s="49" t="str">
        <f t="shared" si="6"/>
        <v>W</v>
      </c>
      <c r="H27" s="29">
        <v>40</v>
      </c>
      <c r="I27" s="29" t="str">
        <f t="shared" si="19"/>
        <v>S</v>
      </c>
      <c r="J27" s="50">
        <v>40</v>
      </c>
      <c r="K27" s="41" t="str">
        <f t="shared" si="7"/>
        <v>S</v>
      </c>
      <c r="L27" s="41">
        <v>38</v>
      </c>
      <c r="M27" s="41" t="str">
        <f t="shared" si="22"/>
        <v>W</v>
      </c>
      <c r="N27" s="50">
        <v>33</v>
      </c>
      <c r="O27" s="41" t="str">
        <f t="shared" si="9"/>
        <v>W</v>
      </c>
      <c r="P27" s="51">
        <v>40</v>
      </c>
      <c r="Q27" s="309" t="str">
        <f t="shared" si="10"/>
        <v>S</v>
      </c>
      <c r="R27" s="51">
        <v>64</v>
      </c>
      <c r="S27" s="43" t="str">
        <f t="shared" si="11"/>
        <v>C</v>
      </c>
      <c r="T27" s="43">
        <v>66</v>
      </c>
      <c r="U27" s="43" t="str">
        <f t="shared" si="12"/>
        <v>B</v>
      </c>
      <c r="V27" s="52"/>
      <c r="W27" s="44"/>
      <c r="X27" s="52">
        <v>85</v>
      </c>
      <c r="Y27" s="44" t="str">
        <f t="shared" si="21"/>
        <v>A</v>
      </c>
      <c r="Z27" s="52"/>
      <c r="AA27" s="44"/>
      <c r="AB27" s="106">
        <v>43</v>
      </c>
      <c r="AC27" s="99" t="str">
        <f t="shared" si="13"/>
        <v>S</v>
      </c>
      <c r="AD27" s="106">
        <v>70</v>
      </c>
      <c r="AE27" s="99" t="str">
        <f t="shared" si="14"/>
        <v>B</v>
      </c>
      <c r="AF27" s="100">
        <f t="shared" si="15"/>
        <v>607</v>
      </c>
      <c r="AG27" s="101">
        <f t="shared" si="16"/>
        <v>50.5833333333333</v>
      </c>
      <c r="AH27" s="100">
        <f t="shared" si="17"/>
        <v>8</v>
      </c>
      <c r="AI27" s="36">
        <f t="shared" si="0"/>
        <v>1</v>
      </c>
      <c r="AJ27" s="36">
        <f t="shared" si="1"/>
        <v>2</v>
      </c>
      <c r="AK27" s="36">
        <f t="shared" si="2"/>
        <v>2</v>
      </c>
      <c r="AL27" s="36">
        <f t="shared" si="18"/>
        <v>4</v>
      </c>
      <c r="AM27" s="36">
        <f t="shared" si="24"/>
        <v>3</v>
      </c>
      <c r="AN27" s="37">
        <f t="shared" si="4"/>
        <v>0</v>
      </c>
    </row>
    <row r="28" s="2" customFormat="1" ht="15" customHeight="1" spans="1:40">
      <c r="A28" s="39">
        <v>23</v>
      </c>
      <c r="B28" s="276" t="s">
        <v>93</v>
      </c>
      <c r="C28" s="95" t="s">
        <v>71</v>
      </c>
      <c r="D28" s="29">
        <v>43</v>
      </c>
      <c r="E28" s="29" t="str">
        <f t="shared" si="5"/>
        <v>S</v>
      </c>
      <c r="F28" s="29">
        <v>50</v>
      </c>
      <c r="G28" s="49" t="str">
        <f t="shared" si="6"/>
        <v>C</v>
      </c>
      <c r="H28" s="29">
        <v>44</v>
      </c>
      <c r="I28" s="29" t="str">
        <f t="shared" si="19"/>
        <v>S</v>
      </c>
      <c r="J28" s="50">
        <v>34</v>
      </c>
      <c r="K28" s="41" t="str">
        <f t="shared" si="7"/>
        <v>W</v>
      </c>
      <c r="L28" s="41">
        <v>36</v>
      </c>
      <c r="M28" s="41" t="str">
        <f t="shared" si="22"/>
        <v>W</v>
      </c>
      <c r="N28" s="50">
        <v>48</v>
      </c>
      <c r="O28" s="41" t="str">
        <f t="shared" si="9"/>
        <v>S</v>
      </c>
      <c r="P28" s="51">
        <v>61</v>
      </c>
      <c r="Q28" s="309" t="str">
        <f t="shared" si="10"/>
        <v>C</v>
      </c>
      <c r="R28" s="51">
        <v>65</v>
      </c>
      <c r="S28" s="43" t="str">
        <f t="shared" si="11"/>
        <v>B</v>
      </c>
      <c r="T28" s="43">
        <v>72</v>
      </c>
      <c r="U28" s="43" t="str">
        <f t="shared" si="12"/>
        <v>B</v>
      </c>
      <c r="V28" s="52"/>
      <c r="W28" s="44"/>
      <c r="X28" s="52">
        <v>82</v>
      </c>
      <c r="Y28" s="44" t="str">
        <f t="shared" si="21"/>
        <v>A</v>
      </c>
      <c r="Z28" s="52"/>
      <c r="AA28" s="44"/>
      <c r="AB28" s="106">
        <v>72</v>
      </c>
      <c r="AC28" s="99" t="str">
        <f t="shared" si="13"/>
        <v>B</v>
      </c>
      <c r="AD28" s="106">
        <v>72</v>
      </c>
      <c r="AE28" s="99" t="str">
        <f t="shared" si="14"/>
        <v>B</v>
      </c>
      <c r="AF28" s="100">
        <f t="shared" si="15"/>
        <v>679</v>
      </c>
      <c r="AG28" s="101">
        <f t="shared" si="16"/>
        <v>56.5833333333333</v>
      </c>
      <c r="AH28" s="100">
        <f t="shared" si="17"/>
        <v>5</v>
      </c>
      <c r="AI28" s="36">
        <f t="shared" si="0"/>
        <v>1</v>
      </c>
      <c r="AJ28" s="36">
        <f t="shared" si="1"/>
        <v>4</v>
      </c>
      <c r="AK28" s="36">
        <f t="shared" si="2"/>
        <v>2</v>
      </c>
      <c r="AL28" s="36">
        <f t="shared" si="18"/>
        <v>3</v>
      </c>
      <c r="AM28" s="36">
        <f t="shared" si="24"/>
        <v>2</v>
      </c>
      <c r="AN28" s="37">
        <f t="shared" si="4"/>
        <v>0</v>
      </c>
    </row>
    <row r="29" s="2" customFormat="1" ht="15" customHeight="1" spans="1:40">
      <c r="A29" s="39">
        <v>24</v>
      </c>
      <c r="B29" s="276" t="s">
        <v>94</v>
      </c>
      <c r="C29" s="95" t="s">
        <v>71</v>
      </c>
      <c r="D29" s="29">
        <v>49</v>
      </c>
      <c r="E29" s="29" t="str">
        <f t="shared" si="5"/>
        <v>S</v>
      </c>
      <c r="F29" s="29">
        <v>45</v>
      </c>
      <c r="G29" s="49" t="str">
        <f t="shared" si="6"/>
        <v>S</v>
      </c>
      <c r="H29" s="29">
        <v>24</v>
      </c>
      <c r="I29" s="29" t="str">
        <f t="shared" si="19"/>
        <v>W</v>
      </c>
      <c r="J29" s="50">
        <v>16</v>
      </c>
      <c r="K29" s="41" t="str">
        <f t="shared" si="7"/>
        <v>W</v>
      </c>
      <c r="L29" s="41">
        <v>18</v>
      </c>
      <c r="M29" s="41" t="str">
        <f t="shared" si="22"/>
        <v>W</v>
      </c>
      <c r="N29" s="50">
        <v>25</v>
      </c>
      <c r="O29" s="41" t="str">
        <f t="shared" si="9"/>
        <v>W</v>
      </c>
      <c r="P29" s="51">
        <v>43</v>
      </c>
      <c r="Q29" s="309" t="str">
        <f t="shared" si="10"/>
        <v>S</v>
      </c>
      <c r="R29" s="51">
        <v>41</v>
      </c>
      <c r="S29" s="43" t="str">
        <f t="shared" si="11"/>
        <v>S</v>
      </c>
      <c r="T29" s="43">
        <v>28</v>
      </c>
      <c r="U29" s="43" t="str">
        <f t="shared" si="12"/>
        <v>W</v>
      </c>
      <c r="V29" s="52"/>
      <c r="W29" s="44"/>
      <c r="X29" s="52">
        <v>81</v>
      </c>
      <c r="Y29" s="44" t="str">
        <f t="shared" si="21"/>
        <v>A</v>
      </c>
      <c r="Z29" s="52"/>
      <c r="AA29" s="44"/>
      <c r="AB29" s="106">
        <v>45</v>
      </c>
      <c r="AC29" s="99" t="str">
        <f t="shared" si="13"/>
        <v>S</v>
      </c>
      <c r="AD29" s="106">
        <v>70</v>
      </c>
      <c r="AE29" s="99" t="str">
        <f t="shared" si="14"/>
        <v>B</v>
      </c>
      <c r="AF29" s="100">
        <f t="shared" si="15"/>
        <v>485</v>
      </c>
      <c r="AG29" s="101">
        <f t="shared" si="16"/>
        <v>40.4166666666667</v>
      </c>
      <c r="AH29" s="100">
        <f t="shared" si="17"/>
        <v>12</v>
      </c>
      <c r="AI29" s="36">
        <f t="shared" si="0"/>
        <v>1</v>
      </c>
      <c r="AJ29" s="36">
        <f t="shared" si="1"/>
        <v>1</v>
      </c>
      <c r="AK29" s="36">
        <f t="shared" si="2"/>
        <v>0</v>
      </c>
      <c r="AL29" s="36">
        <f t="shared" si="18"/>
        <v>5</v>
      </c>
      <c r="AM29" s="36">
        <f t="shared" si="24"/>
        <v>5</v>
      </c>
      <c r="AN29" s="37">
        <f t="shared" si="4"/>
        <v>0</v>
      </c>
    </row>
    <row r="30" s="2" customFormat="1" ht="15" customHeight="1" spans="1:40">
      <c r="A30" s="39">
        <v>25</v>
      </c>
      <c r="B30" s="276" t="s">
        <v>95</v>
      </c>
      <c r="C30" s="95" t="s">
        <v>71</v>
      </c>
      <c r="D30" s="29">
        <v>44</v>
      </c>
      <c r="E30" s="29" t="str">
        <f t="shared" si="5"/>
        <v>S</v>
      </c>
      <c r="F30" s="29" t="s">
        <v>29</v>
      </c>
      <c r="G30" s="49" t="str">
        <f t="shared" si="6"/>
        <v>A</v>
      </c>
      <c r="H30" s="29">
        <v>40</v>
      </c>
      <c r="I30" s="29" t="str">
        <f t="shared" si="19"/>
        <v>S</v>
      </c>
      <c r="J30" s="50">
        <v>26</v>
      </c>
      <c r="K30" s="41" t="str">
        <f t="shared" si="7"/>
        <v>W</v>
      </c>
      <c r="L30" s="41">
        <v>45</v>
      </c>
      <c r="M30" s="41" t="str">
        <f t="shared" si="22"/>
        <v>S</v>
      </c>
      <c r="N30" s="335" t="s">
        <v>29</v>
      </c>
      <c r="O30" s="335" t="s">
        <v>29</v>
      </c>
      <c r="P30" s="51">
        <v>48</v>
      </c>
      <c r="Q30" s="309" t="str">
        <f t="shared" si="10"/>
        <v>S</v>
      </c>
      <c r="R30" s="42" t="s">
        <v>29</v>
      </c>
      <c r="S30" s="42" t="s">
        <v>29</v>
      </c>
      <c r="T30" s="42" t="s">
        <v>29</v>
      </c>
      <c r="U30" s="42" t="s">
        <v>29</v>
      </c>
      <c r="V30" s="52"/>
      <c r="W30" s="44"/>
      <c r="X30" s="333" t="s">
        <v>29</v>
      </c>
      <c r="Y30" s="333" t="s">
        <v>29</v>
      </c>
      <c r="Z30" s="52"/>
      <c r="AA30" s="44"/>
      <c r="AB30" s="337" t="s">
        <v>29</v>
      </c>
      <c r="AC30" s="337" t="s">
        <v>29</v>
      </c>
      <c r="AD30" s="106">
        <v>70</v>
      </c>
      <c r="AE30" s="99" t="str">
        <f t="shared" si="14"/>
        <v>B</v>
      </c>
      <c r="AF30" s="100">
        <f t="shared" si="15"/>
        <v>273</v>
      </c>
      <c r="AG30" s="101">
        <f t="shared" si="16"/>
        <v>22.75</v>
      </c>
      <c r="AH30" s="100">
        <f t="shared" si="17"/>
        <v>20</v>
      </c>
      <c r="AI30" s="36">
        <f t="shared" si="0"/>
        <v>1</v>
      </c>
      <c r="AJ30" s="36">
        <f t="shared" si="1"/>
        <v>1</v>
      </c>
      <c r="AK30" s="36">
        <f t="shared" si="2"/>
        <v>0</v>
      </c>
      <c r="AL30" s="36">
        <f t="shared" si="18"/>
        <v>4</v>
      </c>
      <c r="AM30" s="36">
        <f t="shared" si="24"/>
        <v>1</v>
      </c>
      <c r="AN30" s="37">
        <f t="shared" si="4"/>
        <v>5.5</v>
      </c>
    </row>
    <row r="31" ht="15" customHeight="1" spans="1:40">
      <c r="A31" s="39">
        <v>26</v>
      </c>
      <c r="B31" s="276" t="s">
        <v>96</v>
      </c>
      <c r="C31" s="95" t="s">
        <v>71</v>
      </c>
      <c r="D31" s="29">
        <v>35</v>
      </c>
      <c r="E31" s="29" t="str">
        <f t="shared" si="5"/>
        <v>W</v>
      </c>
      <c r="F31" s="29">
        <v>26</v>
      </c>
      <c r="G31" s="49" t="str">
        <f t="shared" si="6"/>
        <v>W</v>
      </c>
      <c r="H31" s="29">
        <v>27</v>
      </c>
      <c r="I31" s="29" t="str">
        <f t="shared" si="19"/>
        <v>W</v>
      </c>
      <c r="J31" s="50">
        <v>18</v>
      </c>
      <c r="K31" s="41" t="str">
        <f t="shared" si="7"/>
        <v>W</v>
      </c>
      <c r="L31" s="41">
        <v>44</v>
      </c>
      <c r="M31" s="41" t="str">
        <f t="shared" si="22"/>
        <v>S</v>
      </c>
      <c r="N31" s="50">
        <v>26</v>
      </c>
      <c r="O31" s="41" t="str">
        <f t="shared" si="9"/>
        <v>W</v>
      </c>
      <c r="P31" s="51">
        <v>55</v>
      </c>
      <c r="Q31" s="309" t="str">
        <f t="shared" si="10"/>
        <v>C</v>
      </c>
      <c r="R31" s="51">
        <v>41</v>
      </c>
      <c r="S31" s="43" t="str">
        <f t="shared" si="11"/>
        <v>S</v>
      </c>
      <c r="T31" s="43">
        <v>29</v>
      </c>
      <c r="U31" s="43" t="str">
        <f t="shared" si="12"/>
        <v>W</v>
      </c>
      <c r="V31" s="52">
        <v>61</v>
      </c>
      <c r="W31" s="44" t="str">
        <f t="shared" si="20"/>
        <v>C</v>
      </c>
      <c r="X31" s="52"/>
      <c r="Y31" s="44"/>
      <c r="Z31" s="52"/>
      <c r="AA31" s="44"/>
      <c r="AB31" s="106">
        <v>44</v>
      </c>
      <c r="AC31" s="99" t="str">
        <f t="shared" si="13"/>
        <v>S</v>
      </c>
      <c r="AD31" s="106">
        <v>70</v>
      </c>
      <c r="AE31" s="99" t="str">
        <f t="shared" si="14"/>
        <v>B</v>
      </c>
      <c r="AF31" s="100">
        <f t="shared" si="15"/>
        <v>476</v>
      </c>
      <c r="AG31" s="101">
        <f t="shared" si="16"/>
        <v>39.6666666666667</v>
      </c>
      <c r="AH31" s="100">
        <f t="shared" si="17"/>
        <v>13</v>
      </c>
      <c r="AI31" s="36">
        <f t="shared" si="0"/>
        <v>0</v>
      </c>
      <c r="AJ31" s="36">
        <f t="shared" si="1"/>
        <v>1</v>
      </c>
      <c r="AK31" s="36">
        <f t="shared" si="2"/>
        <v>2</v>
      </c>
      <c r="AL31" s="36">
        <f t="shared" si="18"/>
        <v>3</v>
      </c>
      <c r="AM31" s="36">
        <f t="shared" si="24"/>
        <v>6</v>
      </c>
      <c r="AN31" s="37">
        <f t="shared" si="4"/>
        <v>0</v>
      </c>
    </row>
    <row r="32" ht="15" customHeight="1" spans="1:40">
      <c r="A32" s="39">
        <v>27</v>
      </c>
      <c r="B32" s="276" t="s">
        <v>97</v>
      </c>
      <c r="C32" s="95" t="s">
        <v>71</v>
      </c>
      <c r="D32" s="29">
        <v>25</v>
      </c>
      <c r="E32" s="29" t="str">
        <f t="shared" si="5"/>
        <v>W</v>
      </c>
      <c r="F32" s="29" t="s">
        <v>29</v>
      </c>
      <c r="G32" s="49" t="str">
        <f t="shared" si="6"/>
        <v>A</v>
      </c>
      <c r="H32" s="29">
        <v>24</v>
      </c>
      <c r="I32" s="29" t="str">
        <f t="shared" si="19"/>
        <v>W</v>
      </c>
      <c r="J32" s="50">
        <v>16</v>
      </c>
      <c r="K32" s="41" t="str">
        <f t="shared" si="7"/>
        <v>W</v>
      </c>
      <c r="L32" s="335" t="s">
        <v>29</v>
      </c>
      <c r="M32" s="335" t="s">
        <v>29</v>
      </c>
      <c r="N32" s="49">
        <v>18</v>
      </c>
      <c r="O32" s="41" t="str">
        <f t="shared" si="9"/>
        <v>W</v>
      </c>
      <c r="P32" s="83">
        <v>20</v>
      </c>
      <c r="Q32" s="309" t="str">
        <f t="shared" si="10"/>
        <v>W</v>
      </c>
      <c r="R32" s="42" t="s">
        <v>29</v>
      </c>
      <c r="S32" s="42" t="s">
        <v>29</v>
      </c>
      <c r="T32" s="42" t="s">
        <v>29</v>
      </c>
      <c r="U32" s="42" t="s">
        <v>29</v>
      </c>
      <c r="V32" s="52">
        <v>67</v>
      </c>
      <c r="W32" s="44" t="str">
        <f t="shared" si="20"/>
        <v>B</v>
      </c>
      <c r="X32" s="52"/>
      <c r="Y32" s="44"/>
      <c r="Z32" s="52"/>
      <c r="AA32" s="44"/>
      <c r="AB32" s="337" t="s">
        <v>29</v>
      </c>
      <c r="AC32" s="337" t="s">
        <v>29</v>
      </c>
      <c r="AD32" s="106">
        <v>20</v>
      </c>
      <c r="AE32" s="99" t="str">
        <f t="shared" si="14"/>
        <v>W</v>
      </c>
      <c r="AF32" s="100">
        <f t="shared" si="15"/>
        <v>190</v>
      </c>
      <c r="AG32" s="101">
        <f t="shared" si="16"/>
        <v>15.8333333333333</v>
      </c>
      <c r="AH32" s="100">
        <f t="shared" si="17"/>
        <v>23</v>
      </c>
      <c r="AI32" s="36">
        <f t="shared" si="0"/>
        <v>1</v>
      </c>
      <c r="AJ32" s="36">
        <f t="shared" si="1"/>
        <v>1</v>
      </c>
      <c r="AK32" s="36">
        <f t="shared" si="2"/>
        <v>0</v>
      </c>
      <c r="AL32" s="36">
        <f t="shared" si="18"/>
        <v>0</v>
      </c>
      <c r="AM32" s="36">
        <f t="shared" si="24"/>
        <v>6</v>
      </c>
      <c r="AN32" s="37">
        <f t="shared" si="4"/>
        <v>4.5</v>
      </c>
    </row>
    <row r="33" ht="15" customHeight="1" spans="1:40">
      <c r="A33" s="39">
        <v>28</v>
      </c>
      <c r="B33" s="276" t="s">
        <v>98</v>
      </c>
      <c r="C33" s="95" t="s">
        <v>71</v>
      </c>
      <c r="D33" s="29">
        <v>63</v>
      </c>
      <c r="E33" s="29" t="str">
        <f t="shared" si="5"/>
        <v>C</v>
      </c>
      <c r="F33" s="29">
        <v>67</v>
      </c>
      <c r="G33" s="49" t="str">
        <f t="shared" si="6"/>
        <v>B</v>
      </c>
      <c r="H33" s="29">
        <v>62</v>
      </c>
      <c r="I33" s="29" t="str">
        <f t="shared" si="19"/>
        <v>C</v>
      </c>
      <c r="J33" s="50">
        <v>77</v>
      </c>
      <c r="K33" s="41" t="str">
        <f t="shared" si="7"/>
        <v>A</v>
      </c>
      <c r="L33" s="41">
        <v>65</v>
      </c>
      <c r="M33" s="41" t="str">
        <f t="shared" si="22"/>
        <v>B</v>
      </c>
      <c r="N33" s="50">
        <v>64</v>
      </c>
      <c r="O33" s="41" t="str">
        <f t="shared" si="9"/>
        <v>C</v>
      </c>
      <c r="P33" s="51">
        <v>89</v>
      </c>
      <c r="Q33" s="309" t="str">
        <f t="shared" si="10"/>
        <v>A</v>
      </c>
      <c r="R33" s="51">
        <v>73</v>
      </c>
      <c r="S33" s="43" t="str">
        <f t="shared" si="11"/>
        <v>B</v>
      </c>
      <c r="T33" s="43">
        <v>71</v>
      </c>
      <c r="U33" s="43" t="str">
        <f t="shared" si="12"/>
        <v>B</v>
      </c>
      <c r="V33" s="52">
        <v>82</v>
      </c>
      <c r="W33" s="44" t="str">
        <f t="shared" si="20"/>
        <v>A</v>
      </c>
      <c r="X33" s="52"/>
      <c r="Y33" s="44"/>
      <c r="Z33" s="52"/>
      <c r="AA33" s="44"/>
      <c r="AB33" s="106">
        <v>70</v>
      </c>
      <c r="AC33" s="99" t="str">
        <f t="shared" si="13"/>
        <v>B</v>
      </c>
      <c r="AD33" s="106">
        <v>72</v>
      </c>
      <c r="AE33" s="99" t="str">
        <f t="shared" si="14"/>
        <v>B</v>
      </c>
      <c r="AF33" s="100">
        <f t="shared" si="15"/>
        <v>855</v>
      </c>
      <c r="AG33" s="101">
        <f t="shared" si="16"/>
        <v>71.25</v>
      </c>
      <c r="AH33" s="100">
        <f t="shared" si="17"/>
        <v>1</v>
      </c>
      <c r="AI33" s="36">
        <f t="shared" si="0"/>
        <v>3</v>
      </c>
      <c r="AJ33" s="36">
        <f t="shared" si="1"/>
        <v>6</v>
      </c>
      <c r="AK33" s="36">
        <f t="shared" si="2"/>
        <v>3</v>
      </c>
      <c r="AL33" s="36">
        <f t="shared" si="18"/>
        <v>0</v>
      </c>
      <c r="AM33" s="36">
        <f t="shared" si="24"/>
        <v>0</v>
      </c>
      <c r="AN33" s="37">
        <f t="shared" si="4"/>
        <v>0</v>
      </c>
    </row>
    <row r="34" ht="15" customHeight="1" spans="1:40">
      <c r="A34" s="53" t="s">
        <v>62</v>
      </c>
      <c r="B34" s="54"/>
      <c r="C34" s="55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8"/>
      <c r="AG34" s="58"/>
      <c r="AH34" s="58"/>
      <c r="AM34" s="59"/>
      <c r="AN34" s="60"/>
    </row>
    <row r="35" ht="15" customHeight="1" spans="1:40">
      <c r="A35" s="53" t="s">
        <v>63</v>
      </c>
      <c r="B35" s="54"/>
      <c r="C35" s="61" t="s">
        <v>24</v>
      </c>
      <c r="D35" s="56"/>
      <c r="E35" s="63">
        <f>COUNTIF(E6:E33,"A")</f>
        <v>0</v>
      </c>
      <c r="F35" s="56"/>
      <c r="G35" s="63">
        <f>COUNTIF(G6:G33,"A")</f>
        <v>4</v>
      </c>
      <c r="H35" s="56"/>
      <c r="I35" s="63">
        <f>COUNTIF(I6:I33,"A")</f>
        <v>0</v>
      </c>
      <c r="J35" s="56"/>
      <c r="K35" s="63">
        <f>COUNTIF(K6:K33,"A")</f>
        <v>1</v>
      </c>
      <c r="L35" s="63"/>
      <c r="M35" s="63">
        <f>COUNTIF(M6:M33,"A")</f>
        <v>0</v>
      </c>
      <c r="N35" s="63"/>
      <c r="O35" s="63">
        <f>COUNTIF(O6:O33,"A")</f>
        <v>0</v>
      </c>
      <c r="P35" s="63"/>
      <c r="Q35" s="63">
        <f>COUNTIF(Q6:Q33,"A")</f>
        <v>6</v>
      </c>
      <c r="R35" s="56"/>
      <c r="S35" s="63">
        <f>COUNTIF(S6:S33,"A")</f>
        <v>1</v>
      </c>
      <c r="T35" s="56"/>
      <c r="U35" s="63">
        <f>COUNTIF(U6:U33,"A")</f>
        <v>3</v>
      </c>
      <c r="V35" s="56"/>
      <c r="W35" s="63">
        <f>COUNTIF(W6:W33,"A")</f>
        <v>1</v>
      </c>
      <c r="X35" s="56"/>
      <c r="Y35" s="63">
        <f>COUNTIF(Y6:Y33,"A")</f>
        <v>5</v>
      </c>
      <c r="Z35" s="56"/>
      <c r="AA35" s="63">
        <f>COUNTIF(AA6:AA33,"A")</f>
        <v>2</v>
      </c>
      <c r="AB35" s="56"/>
      <c r="AC35" s="63">
        <f>COUNTIF(AC6:AC33,"A")</f>
        <v>1</v>
      </c>
      <c r="AD35" s="56"/>
      <c r="AE35" s="63">
        <f>COUNTIF(AE6:AE33,"A")</f>
        <v>2</v>
      </c>
      <c r="AF35" s="64"/>
      <c r="AG35" s="64"/>
      <c r="AH35" s="64"/>
      <c r="AM35" s="59"/>
      <c r="AN35" s="60"/>
    </row>
    <row r="36" ht="15" customHeight="1" spans="1:40">
      <c r="A36" s="53" t="s">
        <v>64</v>
      </c>
      <c r="B36" s="54"/>
      <c r="C36" s="55" t="s">
        <v>25</v>
      </c>
      <c r="D36" s="56"/>
      <c r="E36" s="63">
        <f>COUNTIF(E6:E33,"B")</f>
        <v>1</v>
      </c>
      <c r="F36" s="56"/>
      <c r="G36" s="63">
        <f>COUNTIF(G6:G33,"B")</f>
        <v>1</v>
      </c>
      <c r="H36" s="56"/>
      <c r="I36" s="63">
        <f>COUNTIF(I6:I33,"B")</f>
        <v>0</v>
      </c>
      <c r="J36" s="56"/>
      <c r="K36" s="63">
        <f>COUNTIF(K6:K33,"B")</f>
        <v>0</v>
      </c>
      <c r="L36" s="56"/>
      <c r="M36" s="63">
        <f>COUNTIF(M6:M33,"B")</f>
        <v>3</v>
      </c>
      <c r="N36" s="56"/>
      <c r="O36" s="63">
        <f>COUNTIF(O6:O33,"B")</f>
        <v>1</v>
      </c>
      <c r="P36" s="56"/>
      <c r="Q36" s="63">
        <f>COUNTIF(Q6:Q33,"B")</f>
        <v>2</v>
      </c>
      <c r="R36" s="56"/>
      <c r="S36" s="63">
        <f>COUNTIF(S6:S33,"B")</f>
        <v>2</v>
      </c>
      <c r="T36" s="56"/>
      <c r="U36" s="63">
        <f>COUNTIF(U6:U33,"B")</f>
        <v>5</v>
      </c>
      <c r="V36" s="56"/>
      <c r="W36" s="63">
        <f>COUNTIF(W6:W33,"B")</f>
        <v>2</v>
      </c>
      <c r="X36" s="56"/>
      <c r="Y36" s="63">
        <f>COUNTIF(Y6:Y33,"B")</f>
        <v>1</v>
      </c>
      <c r="Z36" s="56"/>
      <c r="AA36" s="63">
        <f>COUNTIF(AA6:AA33,"B")</f>
        <v>1</v>
      </c>
      <c r="AB36" s="56"/>
      <c r="AC36" s="63">
        <f>COUNTIF(AC6:AC33,"B")</f>
        <v>3</v>
      </c>
      <c r="AD36" s="56"/>
      <c r="AE36" s="63">
        <f>COUNTIF(AE6:AE33,"B")</f>
        <v>14</v>
      </c>
      <c r="AF36" s="64"/>
      <c r="AG36" s="64"/>
      <c r="AH36" s="64"/>
    </row>
    <row r="37" ht="15" customHeight="1" spans="1:40">
      <c r="A37" s="53" t="s">
        <v>65</v>
      </c>
      <c r="B37" s="54"/>
      <c r="C37" s="55" t="s">
        <v>26</v>
      </c>
      <c r="D37" s="56"/>
      <c r="E37" s="63">
        <f>COUNTIF(E6:E33,"C")</f>
        <v>6</v>
      </c>
      <c r="F37" s="56"/>
      <c r="G37" s="63">
        <f>COUNTIF(G6:G33,"C")</f>
        <v>3</v>
      </c>
      <c r="H37" s="56"/>
      <c r="I37" s="63">
        <f>COUNTIF(I6:I33,"C")</f>
        <v>3</v>
      </c>
      <c r="J37" s="56"/>
      <c r="K37" s="63">
        <f>COUNTIF(K6:K33,"C")</f>
        <v>1</v>
      </c>
      <c r="L37" s="56"/>
      <c r="M37" s="63">
        <f>COUNTIF(M6:M33,"C")</f>
        <v>4</v>
      </c>
      <c r="N37" s="56"/>
      <c r="O37" s="63">
        <f>COUNTIF(O6:O33,"C")</f>
        <v>2</v>
      </c>
      <c r="P37" s="56"/>
      <c r="Q37" s="63">
        <f>COUNTIF(Q6:Q33,"C")</f>
        <v>4</v>
      </c>
      <c r="R37" s="56"/>
      <c r="S37" s="63">
        <f>COUNTIF(S6:S33,"C")</f>
        <v>6</v>
      </c>
      <c r="T37" s="56"/>
      <c r="U37" s="63">
        <f>COUNTIF(U6:U33,"C")</f>
        <v>2</v>
      </c>
      <c r="V37" s="56"/>
      <c r="W37" s="63">
        <f>COUNTIF(W6:W33,"C")</f>
        <v>3</v>
      </c>
      <c r="X37" s="56"/>
      <c r="Y37" s="63">
        <f>COUNTIF(Y6:Y33,"C")</f>
        <v>2</v>
      </c>
      <c r="Z37" s="56"/>
      <c r="AA37" s="63">
        <f>COUNTIF(AA6:AA33,"C")</f>
        <v>0</v>
      </c>
      <c r="AB37" s="56"/>
      <c r="AC37" s="63">
        <f>COUNTIF(AC6:AC33,"C")</f>
        <v>1</v>
      </c>
      <c r="AD37" s="56"/>
      <c r="AE37" s="63">
        <f>COUNTIF(AE6:AE33,"C")</f>
        <v>7</v>
      </c>
      <c r="AF37" s="64"/>
      <c r="AG37" s="64"/>
      <c r="AH37" s="64"/>
    </row>
    <row r="38" ht="15" customHeight="1" spans="1:40">
      <c r="A38" s="53" t="s">
        <v>66</v>
      </c>
      <c r="B38" s="54"/>
      <c r="C38" s="55" t="s">
        <v>27</v>
      </c>
      <c r="D38" s="56"/>
      <c r="E38" s="63">
        <f>COUNTIF(E6:E33,"S")</f>
        <v>4</v>
      </c>
      <c r="F38" s="56"/>
      <c r="G38" s="63">
        <f>COUNTIF(G6:G33,"S")</f>
        <v>3</v>
      </c>
      <c r="H38" s="56"/>
      <c r="I38" s="63">
        <f>COUNTIF(I6:I33,"S")</f>
        <v>5</v>
      </c>
      <c r="J38" s="56"/>
      <c r="K38" s="63">
        <f>COUNTIF(K6:K33,"S")</f>
        <v>4</v>
      </c>
      <c r="L38" s="56"/>
      <c r="M38" s="63">
        <f>COUNTIF(M6:M33,"S")</f>
        <v>6</v>
      </c>
      <c r="N38" s="56"/>
      <c r="O38" s="63">
        <f>COUNTIF(O6:O33,"S")</f>
        <v>7</v>
      </c>
      <c r="P38" s="56"/>
      <c r="Q38" s="63">
        <f>COUNTIF(Q6:Q33,"S")</f>
        <v>7</v>
      </c>
      <c r="R38" s="56"/>
      <c r="S38" s="63">
        <f>COUNTIF(S6:S33,"S")</f>
        <v>4</v>
      </c>
      <c r="T38" s="56"/>
      <c r="U38" s="63">
        <f>COUNTIF(U6:U33,"S")</f>
        <v>1</v>
      </c>
      <c r="V38" s="56"/>
      <c r="W38" s="63">
        <f>COUNTIF(W6:W33,"S")</f>
        <v>0</v>
      </c>
      <c r="X38" s="56"/>
      <c r="Y38" s="63">
        <f>COUNTIF(Y6:Y33,"S")</f>
        <v>1</v>
      </c>
      <c r="Z38" s="56"/>
      <c r="AA38" s="63">
        <f>COUNTIF(AA6:AA33,"S")</f>
        <v>0</v>
      </c>
      <c r="AB38" s="56"/>
      <c r="AC38" s="63">
        <f>COUNTIF(AC6:AC33,"S")</f>
        <v>5</v>
      </c>
      <c r="AD38" s="56"/>
      <c r="AE38" s="63">
        <f>COUNTIF(AE6:AE33,"S")</f>
        <v>0</v>
      </c>
      <c r="AF38" s="64"/>
      <c r="AG38" s="64"/>
      <c r="AH38" s="64"/>
    </row>
    <row r="39" ht="15" customHeight="1" spans="1:40">
      <c r="A39" s="53" t="s">
        <v>67</v>
      </c>
      <c r="B39" s="54"/>
      <c r="C39" s="55" t="s">
        <v>28</v>
      </c>
      <c r="D39" s="56"/>
      <c r="E39" s="63">
        <f>COUNTIF(E6:E33,"W")</f>
        <v>14</v>
      </c>
      <c r="F39" s="56"/>
      <c r="G39" s="63">
        <f>COUNTIF(G6:G33,"W")</f>
        <v>15</v>
      </c>
      <c r="H39" s="56"/>
      <c r="I39" s="63">
        <f>COUNTIF(I6:I33,"W")</f>
        <v>15</v>
      </c>
      <c r="J39" s="56"/>
      <c r="K39" s="63">
        <f>COUNTIF(K6:K33,"W")</f>
        <v>17</v>
      </c>
      <c r="L39" s="56"/>
      <c r="M39" s="63">
        <f>COUNTIF(M6:M33,"W")</f>
        <v>10</v>
      </c>
      <c r="N39" s="56"/>
      <c r="O39" s="63">
        <f>COUNTIF(O6:O33,"W")</f>
        <v>13</v>
      </c>
      <c r="P39" s="56"/>
      <c r="Q39" s="63">
        <f>COUNTIF(Q6:Q33,"W")</f>
        <v>6</v>
      </c>
      <c r="R39" s="56"/>
      <c r="S39" s="63">
        <f>COUNTIF(S6:S33,"W")</f>
        <v>9</v>
      </c>
      <c r="T39" s="56"/>
      <c r="U39" s="63">
        <f>COUNTIF(U6:U33,"W")</f>
        <v>10</v>
      </c>
      <c r="V39" s="56"/>
      <c r="W39" s="63">
        <f>COUNTIF(W6:W33,"W")</f>
        <v>3</v>
      </c>
      <c r="X39" s="56"/>
      <c r="Y39" s="63">
        <f>COUNTIF(Y6:Y33,"W")</f>
        <v>0</v>
      </c>
      <c r="Z39" s="56"/>
      <c r="AA39" s="63">
        <f>COUNTIF(AA6:AA33,"W")</f>
        <v>0</v>
      </c>
      <c r="AB39" s="56"/>
      <c r="AC39" s="63">
        <f>COUNTIF(AC6:AC33,"W")</f>
        <v>12</v>
      </c>
      <c r="AD39" s="56"/>
      <c r="AE39" s="63">
        <f>COUNTIF(AE6:AE33,"W")</f>
        <v>3</v>
      </c>
      <c r="AF39" s="64"/>
      <c r="AG39" s="64"/>
      <c r="AH39" s="64"/>
    </row>
    <row r="40" ht="15" customHeight="1" spans="1:40">
      <c r="A40" s="53"/>
      <c r="B40" s="54"/>
      <c r="C40" s="55" t="s">
        <v>29</v>
      </c>
      <c r="D40" s="56"/>
      <c r="E40" s="63">
        <f>COUNTIF(E6:E33,"AB")</f>
        <v>3</v>
      </c>
      <c r="F40" s="56"/>
      <c r="G40" s="63">
        <f>COUNTIF(G6:G33,"AB")</f>
        <v>2</v>
      </c>
      <c r="H40" s="56"/>
      <c r="I40" s="63">
        <f>COUNTIF(I6:I33,"AB")</f>
        <v>5</v>
      </c>
      <c r="J40" s="56"/>
      <c r="K40" s="63">
        <f>COUNTIF(K6:K33,"AB")</f>
        <v>5</v>
      </c>
      <c r="L40" s="56"/>
      <c r="M40" s="63">
        <f>COUNTIF(M6:M33,"AB")</f>
        <v>5</v>
      </c>
      <c r="N40" s="56"/>
      <c r="O40" s="63">
        <f>COUNTIF(O6:O33,"AB")</f>
        <v>5</v>
      </c>
      <c r="P40" s="56"/>
      <c r="Q40" s="63">
        <f>COUNTIF(Q6:Q33,"AB")</f>
        <v>3</v>
      </c>
      <c r="R40" s="56"/>
      <c r="S40" s="63">
        <f>COUNTIF(S6:S33,"AB")</f>
        <v>6</v>
      </c>
      <c r="T40" s="56"/>
      <c r="U40" s="63">
        <f>COUNTIF(U6:U33,"AB")</f>
        <v>7</v>
      </c>
      <c r="V40" s="56"/>
      <c r="W40" s="63">
        <f>COUNTIF(W6:W33,"AB")</f>
        <v>1</v>
      </c>
      <c r="X40" s="56"/>
      <c r="Y40" s="63">
        <f>COUNTIF(Y6:Y33,"AB")</f>
        <v>7</v>
      </c>
      <c r="Z40" s="56"/>
      <c r="AA40" s="63">
        <f>COUNTIF(AA6:AA33,"AB")</f>
        <v>1</v>
      </c>
      <c r="AB40" s="56"/>
      <c r="AC40" s="63">
        <f>COUNTIF(AC6:AC33,"AB")</f>
        <v>6</v>
      </c>
      <c r="AD40" s="56"/>
      <c r="AE40" s="63">
        <f>COUNTIF(AE6:AE33,"AB")</f>
        <v>2</v>
      </c>
      <c r="AF40" s="64"/>
      <c r="AG40" s="64"/>
      <c r="AH40" s="64"/>
    </row>
    <row r="41" ht="15" customHeight="1" spans="1:40">
      <c r="A41" s="65" t="s">
        <v>7</v>
      </c>
      <c r="B41" s="66"/>
      <c r="C41" s="67"/>
      <c r="D41" s="68"/>
      <c r="E41" s="407">
        <f>SUM(E35:E40)</f>
        <v>28</v>
      </c>
      <c r="F41" s="111"/>
      <c r="G41" s="408">
        <f>SUM(G35:G40)</f>
        <v>28</v>
      </c>
      <c r="H41" s="111"/>
      <c r="I41" s="408">
        <f>SUM(I35:I40)</f>
        <v>28</v>
      </c>
      <c r="J41" s="111"/>
      <c r="K41" s="408">
        <f>SUM(K35:K40)</f>
        <v>28</v>
      </c>
      <c r="L41" s="111"/>
      <c r="M41" s="408">
        <f>SUM(M35:M40)</f>
        <v>28</v>
      </c>
      <c r="N41" s="111"/>
      <c r="O41" s="408">
        <f>SUM(O35:O40)</f>
        <v>28</v>
      </c>
      <c r="P41" s="111"/>
      <c r="Q41" s="408">
        <f>SUM(Q35:Q40)</f>
        <v>28</v>
      </c>
      <c r="R41" s="111"/>
      <c r="S41" s="408">
        <f>SUM(S35:S40)</f>
        <v>28</v>
      </c>
      <c r="T41" s="111"/>
      <c r="U41" s="408">
        <f>SUM(U35:U40)</f>
        <v>28</v>
      </c>
      <c r="V41" s="111"/>
      <c r="W41" s="408">
        <f>SUM(W35:W40)</f>
        <v>10</v>
      </c>
      <c r="X41" s="111"/>
      <c r="Y41" s="408">
        <f>SUM(Y35:Y40)</f>
        <v>16</v>
      </c>
      <c r="Z41" s="111"/>
      <c r="AA41" s="408">
        <f>SUM(AA35:AA40)</f>
        <v>4</v>
      </c>
      <c r="AB41" s="111"/>
      <c r="AC41" s="408">
        <f>SUM(AC35:AC40)</f>
        <v>28</v>
      </c>
      <c r="AD41" s="111"/>
      <c r="AE41" s="408">
        <f>SUM(AE35:AE40)</f>
        <v>28</v>
      </c>
      <c r="AF41" s="70"/>
      <c r="AG41" s="70"/>
      <c r="AH41" s="70"/>
    </row>
    <row r="42" ht="12" customHeight="1" spans="1:40">
      <c r="A42" s="71"/>
      <c r="B42" s="72"/>
      <c r="C42" s="73"/>
      <c r="D42" s="74"/>
      <c r="E42" s="75"/>
      <c r="F42" s="74"/>
      <c r="G42" s="74"/>
      <c r="H42" s="74"/>
      <c r="I42" s="74"/>
      <c r="J42" s="74"/>
      <c r="K42" s="76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</row>
    <row r="43" ht="12" customHeight="1" spans="1:40">
      <c r="A43" s="47"/>
      <c r="B43" s="77"/>
      <c r="C43" s="78"/>
      <c r="D43" s="38"/>
      <c r="E43" s="79"/>
      <c r="F43" s="38"/>
      <c r="G43" s="38"/>
      <c r="H43" s="38"/>
      <c r="I43" s="38"/>
      <c r="J43" s="38"/>
      <c r="K43" s="80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</row>
    <row r="44" ht="16.9" customHeight="1"/>
    <row r="45" ht="16.9" customHeight="1"/>
    <row r="46" ht="16.9" customHeight="1"/>
    <row r="47" ht="16.9" customHeight="1"/>
    <row r="48" ht="16.9" customHeight="1"/>
    <row r="49" ht="16.9" customHeight="1"/>
  </sheetData>
  <mergeCells count="17">
    <mergeCell ref="A1:AE1"/>
    <mergeCell ref="A2:AM2"/>
    <mergeCell ref="A3:AM3"/>
    <mergeCell ref="D4:AE4"/>
    <mergeCell ref="AF4:AH4"/>
    <mergeCell ref="AI4:AN4"/>
    <mergeCell ref="A34:B34"/>
    <mergeCell ref="A35:B35"/>
    <mergeCell ref="A36:B36"/>
    <mergeCell ref="A37:B37"/>
    <mergeCell ref="A38:B38"/>
    <mergeCell ref="A39:B39"/>
    <mergeCell ref="A40:B40"/>
    <mergeCell ref="A41:B41"/>
    <mergeCell ref="A4:A5"/>
    <mergeCell ref="B4:B5"/>
    <mergeCell ref="C4:C5"/>
  </mergeCells>
  <pageMargins left="0.25" right="0.25" top="0.75" bottom="0.75" header="0.3" footer="0.3"/>
  <pageSetup paperSize="8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0"/>
  <sheetViews>
    <sheetView zoomScale="68" zoomScaleNormal="68" workbookViewId="0">
      <selection activeCell="AH18" sqref="AH18"/>
    </sheetView>
  </sheetViews>
  <sheetFormatPr defaultColWidth="9" defaultRowHeight="15.6"/>
  <cols>
    <col min="1" max="1" width="5.28703703703704" customWidth="1"/>
    <col min="2" max="2" width="30.712962962963" customWidth="1"/>
    <col min="3" max="3" width="5.71296296296296" customWidth="1"/>
    <col min="4" max="10" width="3.71296296296296" customWidth="1"/>
    <col min="11" max="11" width="3.71296296296296" style="1" customWidth="1"/>
    <col min="12" max="21" width="3.71296296296296" customWidth="1"/>
    <col min="22" max="22" width="3.28703703703704" customWidth="1"/>
    <col min="23" max="31" width="3.71296296296296" customWidth="1"/>
    <col min="32" max="32" width="6.71296296296296" customWidth="1"/>
    <col min="33" max="33" width="9.42592592592593" customWidth="1"/>
    <col min="34" max="34" width="4.71296296296296" customWidth="1"/>
    <col min="35" max="39" width="4" customWidth="1"/>
    <col min="40" max="40" width="4" style="2" customWidth="1"/>
  </cols>
  <sheetData>
    <row r="1" ht="25.8" spans="1:40">
      <c r="A1" s="356" t="s">
        <v>99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  <c r="AA1" s="357"/>
      <c r="AB1" s="357"/>
      <c r="AC1" s="357"/>
      <c r="AD1" s="357"/>
      <c r="AE1" s="357"/>
      <c r="AF1" s="4"/>
      <c r="AG1" s="4"/>
      <c r="AH1" s="4"/>
    </row>
    <row r="2" s="1" customFormat="1" ht="20.65" customHeight="1" spans="1:40">
      <c r="A2" s="396" t="s">
        <v>100</v>
      </c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96"/>
      <c r="AB2" s="396"/>
      <c r="AC2" s="396"/>
      <c r="AD2" s="396"/>
      <c r="AE2" s="396"/>
      <c r="AF2" s="396"/>
      <c r="AG2" s="396"/>
      <c r="AH2" s="396"/>
      <c r="AI2" s="396"/>
      <c r="AJ2" s="396"/>
      <c r="AK2" s="396"/>
      <c r="AL2" s="396"/>
      <c r="AM2" s="396"/>
      <c r="AN2" s="396"/>
    </row>
    <row r="3" s="1" customFormat="1" spans="1:40">
      <c r="A3" s="397" t="s">
        <v>101</v>
      </c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  <c r="P3" s="397"/>
      <c r="Q3" s="397"/>
      <c r="R3" s="397"/>
      <c r="S3" s="397"/>
      <c r="T3" s="397"/>
      <c r="U3" s="397"/>
      <c r="V3" s="397"/>
      <c r="W3" s="397"/>
      <c r="X3" s="397"/>
      <c r="Y3" s="397"/>
      <c r="Z3" s="397"/>
      <c r="AA3" s="397"/>
      <c r="AB3" s="397"/>
      <c r="AC3" s="397"/>
      <c r="AD3" s="397"/>
      <c r="AE3" s="397"/>
      <c r="AF3" s="397"/>
      <c r="AG3" s="397"/>
      <c r="AH3" s="397"/>
      <c r="AI3" s="397"/>
      <c r="AJ3" s="397"/>
      <c r="AK3" s="397"/>
      <c r="AL3" s="397"/>
      <c r="AM3" s="397"/>
      <c r="AN3" s="397"/>
    </row>
    <row r="4" customHeight="1" spans="1:40">
      <c r="A4" s="398" t="s">
        <v>102</v>
      </c>
      <c r="B4" s="7" t="s">
        <v>4</v>
      </c>
      <c r="C4" s="8" t="s">
        <v>5</v>
      </c>
      <c r="D4" s="272" t="s">
        <v>6</v>
      </c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  <c r="AA4" s="273"/>
      <c r="AB4" s="273"/>
      <c r="AC4" s="273"/>
      <c r="AD4" s="273"/>
      <c r="AE4" s="274"/>
      <c r="AF4" s="290"/>
      <c r="AG4" s="291"/>
      <c r="AH4" s="292"/>
      <c r="AI4" s="115" t="s">
        <v>7</v>
      </c>
      <c r="AJ4" s="115"/>
      <c r="AK4" s="115"/>
      <c r="AL4" s="115"/>
      <c r="AM4" s="115"/>
      <c r="AN4" s="115"/>
    </row>
    <row r="5" ht="72" customHeight="1" spans="1:40">
      <c r="A5" s="399"/>
      <c r="B5" s="6"/>
      <c r="C5" s="13"/>
      <c r="D5" s="14" t="s">
        <v>8</v>
      </c>
      <c r="E5" s="14"/>
      <c r="F5" s="14" t="s">
        <v>9</v>
      </c>
      <c r="G5" s="14"/>
      <c r="H5" s="14" t="s">
        <v>10</v>
      </c>
      <c r="I5" s="14"/>
      <c r="J5" s="14" t="s">
        <v>11</v>
      </c>
      <c r="K5" s="14"/>
      <c r="L5" s="14" t="s">
        <v>12</v>
      </c>
      <c r="M5" s="14"/>
      <c r="N5" s="14" t="s">
        <v>13</v>
      </c>
      <c r="O5" s="14"/>
      <c r="P5" s="16" t="s">
        <v>14</v>
      </c>
      <c r="Q5" s="16"/>
      <c r="R5" s="16" t="s">
        <v>15</v>
      </c>
      <c r="S5" s="16"/>
      <c r="T5" s="16" t="s">
        <v>16</v>
      </c>
      <c r="U5" s="16"/>
      <c r="V5" s="17" t="s">
        <v>17</v>
      </c>
      <c r="W5" s="17"/>
      <c r="X5" s="17" t="s">
        <v>18</v>
      </c>
      <c r="Y5" s="17"/>
      <c r="Z5" s="17" t="s">
        <v>19</v>
      </c>
      <c r="AA5" s="92"/>
      <c r="AB5" s="93" t="s">
        <v>20</v>
      </c>
      <c r="AC5" s="93"/>
      <c r="AD5" s="93" t="s">
        <v>21</v>
      </c>
      <c r="AE5" s="93"/>
      <c r="AF5" s="18" t="s">
        <v>7</v>
      </c>
      <c r="AG5" s="18" t="s">
        <v>22</v>
      </c>
      <c r="AH5" s="18" t="s">
        <v>23</v>
      </c>
      <c r="AI5" s="19" t="s">
        <v>24</v>
      </c>
      <c r="AJ5" s="20" t="s">
        <v>25</v>
      </c>
      <c r="AK5" s="21" t="s">
        <v>26</v>
      </c>
      <c r="AL5" s="20" t="s">
        <v>27</v>
      </c>
      <c r="AM5" s="20" t="s">
        <v>28</v>
      </c>
      <c r="AN5" s="22" t="s">
        <v>29</v>
      </c>
    </row>
    <row r="6" ht="15" customHeight="1" spans="1:40">
      <c r="A6" s="24">
        <v>1</v>
      </c>
      <c r="B6" s="320" t="s">
        <v>103</v>
      </c>
      <c r="C6" s="26" t="s">
        <v>104</v>
      </c>
      <c r="D6" s="27">
        <v>25</v>
      </c>
      <c r="E6" s="29" t="str">
        <f>IF(D6&gt;=75,"A",IF(D6&gt;=65,"B",IF(D6&gt;=50,"C",IF(D6&gt;=40,"S","W"))))</f>
        <v>W</v>
      </c>
      <c r="F6" s="27">
        <v>12</v>
      </c>
      <c r="G6" s="27" t="str">
        <f>IF(F6&gt;=75,"A",IF(F6&gt;=65,"B",IF(F6&gt;=50,"C",IF(F6&gt;=40,"S","W"))))</f>
        <v>W</v>
      </c>
      <c r="H6" s="27">
        <v>39</v>
      </c>
      <c r="I6" s="29" t="str">
        <f t="shared" ref="I6:I34" si="0">IF(H6&gt;=75,"A",IF(H6&gt;=65,"B",IF(H6&gt;=50,"C",IF(H6&gt;=40,"S","W"))))</f>
        <v>W</v>
      </c>
      <c r="J6" s="30">
        <v>47</v>
      </c>
      <c r="K6" s="31" t="str">
        <f>IF(J6&gt;=75,"A",IF(J6&gt;=65,"B",IF(J6&gt;=50,"C",IF(J6&gt;=40,"S","W"))))</f>
        <v>S</v>
      </c>
      <c r="L6" s="27">
        <v>52</v>
      </c>
      <c r="M6" s="29" t="str">
        <f>IF(L6&gt;=75,"A",IF(L6&gt;=65,"B",IF(L6&gt;=50,"C",IF(L6&gt;=40,"S","W"))))</f>
        <v>C</v>
      </c>
      <c r="N6" s="27">
        <v>35</v>
      </c>
      <c r="O6" s="29" t="str">
        <f>IF(N6&gt;=75,"A",IF(N6&gt;=65,"B",IF(N6&gt;=50,"C",IF(N6&gt;=40,"S","W"))))</f>
        <v>W</v>
      </c>
      <c r="P6" s="32">
        <v>68</v>
      </c>
      <c r="Q6" s="32" t="str">
        <f t="shared" ref="Q6:Q11" si="1">IF(P6&gt;=75,"A",IF(P6&gt;=65,"B",IF(P6&gt;=50,"C",IF(F6&gt;=40,"S","W"))))</f>
        <v>B</v>
      </c>
      <c r="R6" s="32">
        <v>36</v>
      </c>
      <c r="S6" s="32" t="str">
        <f>IF(R6&gt;=75,"A",IF(R6&gt;=65,"B",IF(R6&gt;=50,"C",IF(R6&gt;=40,"S","W"))))</f>
        <v>W</v>
      </c>
      <c r="T6" s="32">
        <v>41</v>
      </c>
      <c r="U6" s="32" t="str">
        <f>IF(T6&gt;=75,"A",IF(T6&gt;=65,"B",IF(T6&gt;=50,"C",IF(T6&gt;=40,"S","W"))))</f>
        <v>S</v>
      </c>
      <c r="V6" s="33">
        <v>52</v>
      </c>
      <c r="W6" s="33" t="str">
        <f>IF(V6&gt;=75,"A",IF(V6&gt;=65,"B",IF(V6&gt;=50,"C",IF(V6&gt;=40,"S","W"))))</f>
        <v>C</v>
      </c>
      <c r="X6" s="33"/>
      <c r="Y6" s="33"/>
      <c r="Z6" s="33"/>
      <c r="AA6" s="33"/>
      <c r="AB6" s="322">
        <v>40</v>
      </c>
      <c r="AC6" s="106" t="str">
        <f>IF(AB6&gt;=75,"A",IF(AB6&gt;=65,"B",IF(AB6&gt;=50,"C",IF(AB6&gt;=40,"S","W"))))</f>
        <v>S</v>
      </c>
      <c r="AD6" s="322">
        <v>65</v>
      </c>
      <c r="AE6" s="322" t="str">
        <f>IF(AD6&gt;=75,"A",IF(AD6&gt;=65,"B",IF(AD6&gt;=50,"C",IF(AD6&gt;=40,"S","W"))))</f>
        <v>B</v>
      </c>
      <c r="AF6" s="34">
        <f t="shared" ref="AF6:AF34" si="2">SUM(D6,F6,H6,J6,L6,N6,P6,R6,T6,V6,X6,Z6,AB6,AD6)</f>
        <v>512</v>
      </c>
      <c r="AG6" s="35">
        <f>AVERAGE(AF6/12)</f>
        <v>42.6666666666667</v>
      </c>
      <c r="AH6" s="34">
        <f>RANK(AF6,$AF$6:$AF$34,0)</f>
        <v>15</v>
      </c>
      <c r="AI6" s="36">
        <f t="shared" ref="AI6:AI34" si="3">COUNTIF(D6:AE6,"A")</f>
        <v>0</v>
      </c>
      <c r="AJ6" s="36">
        <f t="shared" ref="AJ6:AJ34" si="4">COUNTIF(D6:AE6,"B")</f>
        <v>2</v>
      </c>
      <c r="AK6" s="36">
        <f t="shared" ref="AK6:AK34" si="5">COUNTIF(D6:AE6,"C")</f>
        <v>2</v>
      </c>
      <c r="AL6" s="36">
        <f>COUNTIF(E6:AE6,"S")</f>
        <v>3</v>
      </c>
      <c r="AM6" s="36">
        <f t="shared" ref="AM6:AM34" si="6">COUNTIF(D6:AE6,"W")</f>
        <v>5</v>
      </c>
      <c r="AN6" s="37">
        <f>(COUNTIF(D6:AE6,"AB"))/2</f>
        <v>0</v>
      </c>
    </row>
    <row r="7" ht="15" customHeight="1" spans="1:40">
      <c r="A7" s="39">
        <v>2</v>
      </c>
      <c r="B7" s="320" t="s">
        <v>105</v>
      </c>
      <c r="C7" s="26" t="s">
        <v>104</v>
      </c>
      <c r="D7" s="41">
        <v>27</v>
      </c>
      <c r="E7" s="29" t="str">
        <f t="shared" ref="E7:E34" si="7">IF(D7&gt;=75,"A",IF(D7&gt;=65,"B",IF(D7&gt;=50,"C",IF(D7&gt;=40,"S","W"))))</f>
        <v>W</v>
      </c>
      <c r="F7" s="41">
        <v>28</v>
      </c>
      <c r="G7" s="27" t="str">
        <f t="shared" ref="G7:G34" si="8">IF(F7&gt;=75,"A",IF(F7&gt;=65,"B",IF(F7&gt;=50,"C",IF(F7&gt;=40,"S","W"))))</f>
        <v>W</v>
      </c>
      <c r="H7" s="41">
        <v>22</v>
      </c>
      <c r="I7" s="29" t="str">
        <f t="shared" si="0"/>
        <v>W</v>
      </c>
      <c r="J7" s="41">
        <v>26</v>
      </c>
      <c r="K7" s="31" t="str">
        <f t="shared" ref="K7:K33" si="9">IF(J7&gt;=75,"A",IF(J7&gt;=65,"B",IF(J7&gt;=50,"C",IF(J7&gt;=40,"S","W"))))</f>
        <v>W</v>
      </c>
      <c r="L7" s="41">
        <v>35</v>
      </c>
      <c r="M7" s="29" t="str">
        <f t="shared" ref="M7:M34" si="10">IF(L7&gt;=75,"A",IF(L7&gt;=65,"B",IF(L7&gt;=50,"C",IF(L7&gt;=40,"S","W"))))</f>
        <v>W</v>
      </c>
      <c r="N7" s="41">
        <v>22</v>
      </c>
      <c r="O7" s="29" t="str">
        <f t="shared" ref="O7:O34" si="11">IF(N7&gt;=75,"A",IF(N7&gt;=65,"B",IF(N7&gt;=50,"C",IF(N7&gt;=40,"S","W"))))</f>
        <v>W</v>
      </c>
      <c r="P7" s="43">
        <v>28</v>
      </c>
      <c r="Q7" s="32" t="str">
        <f t="shared" si="1"/>
        <v>W</v>
      </c>
      <c r="R7" s="43">
        <v>14</v>
      </c>
      <c r="S7" s="32" t="str">
        <f t="shared" ref="S7:S34" si="12">IF(R7&gt;=75,"A",IF(R7&gt;=65,"B",IF(R7&gt;=50,"C",IF(R7&gt;=40,"S","W"))))</f>
        <v>W</v>
      </c>
      <c r="T7" s="43">
        <v>13</v>
      </c>
      <c r="U7" s="32" t="str">
        <f t="shared" ref="U7:U34" si="13">IF(T7&gt;=75,"A",IF(T7&gt;=65,"B",IF(T7&gt;=50,"C",IF(T7&gt;=40,"S","W"))))</f>
        <v>W</v>
      </c>
      <c r="V7" s="44"/>
      <c r="W7" s="33"/>
      <c r="X7" s="44"/>
      <c r="Y7" s="33"/>
      <c r="Z7" s="44">
        <v>32</v>
      </c>
      <c r="AA7" s="33" t="str">
        <f t="shared" ref="AA7:AA19" si="14">IF(Z7&gt;=75,"A",IF(Z7&gt;=65,"B",IF(Z7&gt;=50,"C",IF(Z7&gt;=40,"S","W"))))</f>
        <v>W</v>
      </c>
      <c r="AB7" s="99">
        <v>35</v>
      </c>
      <c r="AC7" s="106" t="str">
        <f t="shared" ref="AC7:AC34" si="15">IF(AB7&gt;=75,"A",IF(AB7&gt;=65,"B",IF(AB7&gt;=50,"C",IF(AB7&gt;=40,"S","W"))))</f>
        <v>W</v>
      </c>
      <c r="AD7" s="99">
        <v>65</v>
      </c>
      <c r="AE7" s="322" t="str">
        <f t="shared" ref="AE7:AE34" si="16">IF(AD7&gt;=75,"A",IF(AD7&gt;=65,"B",IF(AD7&gt;=50,"C",IF(AD7&gt;=40,"S","W"))))</f>
        <v>B</v>
      </c>
      <c r="AF7" s="34">
        <f t="shared" si="2"/>
        <v>347</v>
      </c>
      <c r="AG7" s="35">
        <f t="shared" ref="AG7:AG34" si="17">AVERAGE(AF7/12)</f>
        <v>28.9166666666667</v>
      </c>
      <c r="AH7" s="34">
        <f t="shared" ref="AH7:AH34" si="18">RANK(AF7,$AF$6:$AF$34,0)</f>
        <v>22</v>
      </c>
      <c r="AI7" s="36">
        <f t="shared" si="3"/>
        <v>0</v>
      </c>
      <c r="AJ7" s="36">
        <f t="shared" si="4"/>
        <v>1</v>
      </c>
      <c r="AK7" s="36">
        <f t="shared" si="5"/>
        <v>0</v>
      </c>
      <c r="AL7" s="36">
        <f t="shared" ref="AL7:AL34" si="19">COUNTIF(E7:AE7,"S")</f>
        <v>0</v>
      </c>
      <c r="AM7" s="36">
        <f t="shared" si="6"/>
        <v>11</v>
      </c>
      <c r="AN7" s="37">
        <f t="shared" ref="AN7:AN34" si="20">(COUNTIF(D7:AE7,"AB"))/2</f>
        <v>0</v>
      </c>
    </row>
    <row r="8" s="2" customFormat="1" ht="15" customHeight="1" spans="1:40">
      <c r="A8" s="24">
        <v>3</v>
      </c>
      <c r="B8" s="320" t="s">
        <v>106</v>
      </c>
      <c r="C8" s="26" t="s">
        <v>104</v>
      </c>
      <c r="D8" s="41">
        <v>33</v>
      </c>
      <c r="E8" s="29" t="str">
        <f t="shared" si="7"/>
        <v>W</v>
      </c>
      <c r="F8" s="45">
        <v>42</v>
      </c>
      <c r="G8" s="27" t="str">
        <f t="shared" si="8"/>
        <v>S</v>
      </c>
      <c r="H8" s="45">
        <v>22</v>
      </c>
      <c r="I8" s="29" t="str">
        <f t="shared" si="0"/>
        <v>W</v>
      </c>
      <c r="J8" s="41">
        <v>76</v>
      </c>
      <c r="K8" s="31" t="str">
        <f t="shared" si="9"/>
        <v>A</v>
      </c>
      <c r="L8" s="41">
        <v>53</v>
      </c>
      <c r="M8" s="29" t="str">
        <f t="shared" si="10"/>
        <v>C</v>
      </c>
      <c r="N8" s="41">
        <v>24</v>
      </c>
      <c r="O8" s="29" t="str">
        <f t="shared" si="11"/>
        <v>W</v>
      </c>
      <c r="P8" s="43">
        <v>43</v>
      </c>
      <c r="Q8" s="32" t="str">
        <f t="shared" si="1"/>
        <v>S</v>
      </c>
      <c r="R8" s="43">
        <v>35</v>
      </c>
      <c r="S8" s="32" t="str">
        <f t="shared" si="12"/>
        <v>W</v>
      </c>
      <c r="T8" s="43">
        <v>38</v>
      </c>
      <c r="U8" s="32" t="str">
        <f t="shared" si="13"/>
        <v>W</v>
      </c>
      <c r="V8" s="44"/>
      <c r="W8" s="33"/>
      <c r="X8" s="44">
        <v>68</v>
      </c>
      <c r="Y8" s="33" t="str">
        <f>IF(X8&gt;=75,"A",IF(X8&gt;=65,"B",IF(X8&gt;=50,"C",IF(X8&gt;=40,"S","W"))))</f>
        <v>B</v>
      </c>
      <c r="Z8" s="44"/>
      <c r="AA8" s="33"/>
      <c r="AB8" s="99">
        <v>52</v>
      </c>
      <c r="AC8" s="106" t="str">
        <f t="shared" si="15"/>
        <v>C</v>
      </c>
      <c r="AD8" s="99">
        <v>95</v>
      </c>
      <c r="AE8" s="322" t="str">
        <f t="shared" si="16"/>
        <v>A</v>
      </c>
      <c r="AF8" s="34">
        <f t="shared" si="2"/>
        <v>581</v>
      </c>
      <c r="AG8" s="35">
        <f t="shared" si="17"/>
        <v>48.4166666666667</v>
      </c>
      <c r="AH8" s="34">
        <f t="shared" si="18"/>
        <v>12</v>
      </c>
      <c r="AI8" s="36">
        <f t="shared" si="3"/>
        <v>2</v>
      </c>
      <c r="AJ8" s="36">
        <f t="shared" si="4"/>
        <v>1</v>
      </c>
      <c r="AK8" s="36">
        <f t="shared" si="5"/>
        <v>2</v>
      </c>
      <c r="AL8" s="36">
        <f t="shared" si="19"/>
        <v>2</v>
      </c>
      <c r="AM8" s="36">
        <f t="shared" si="6"/>
        <v>5</v>
      </c>
      <c r="AN8" s="37">
        <f t="shared" si="20"/>
        <v>0</v>
      </c>
    </row>
    <row r="9" s="2" customFormat="1" ht="15" customHeight="1" spans="1:40">
      <c r="A9" s="24">
        <v>4</v>
      </c>
      <c r="B9" s="320" t="s">
        <v>107</v>
      </c>
      <c r="C9" s="26" t="s">
        <v>104</v>
      </c>
      <c r="D9" s="41">
        <v>17</v>
      </c>
      <c r="E9" s="29" t="str">
        <f t="shared" si="7"/>
        <v>W</v>
      </c>
      <c r="F9" s="45">
        <v>1</v>
      </c>
      <c r="G9" s="27" t="str">
        <f t="shared" si="8"/>
        <v>W</v>
      </c>
      <c r="H9" s="45">
        <v>23</v>
      </c>
      <c r="I9" s="29" t="str">
        <f t="shared" si="0"/>
        <v>W</v>
      </c>
      <c r="J9" s="41">
        <v>31</v>
      </c>
      <c r="K9" s="31" t="str">
        <f t="shared" si="9"/>
        <v>W</v>
      </c>
      <c r="L9" s="41">
        <v>18</v>
      </c>
      <c r="M9" s="29" t="str">
        <f t="shared" si="10"/>
        <v>W</v>
      </c>
      <c r="N9" s="41">
        <v>22</v>
      </c>
      <c r="O9" s="29" t="str">
        <f t="shared" si="11"/>
        <v>W</v>
      </c>
      <c r="P9" s="43">
        <v>35</v>
      </c>
      <c r="Q9" s="32" t="str">
        <f t="shared" si="1"/>
        <v>W</v>
      </c>
      <c r="R9" s="43">
        <v>12</v>
      </c>
      <c r="S9" s="32" t="str">
        <f t="shared" si="12"/>
        <v>W</v>
      </c>
      <c r="T9" s="43">
        <v>15</v>
      </c>
      <c r="U9" s="32" t="str">
        <f t="shared" si="13"/>
        <v>W</v>
      </c>
      <c r="V9" s="44">
        <v>39</v>
      </c>
      <c r="W9" s="33" t="str">
        <f t="shared" ref="W9:W29" si="21">IF(V9&gt;=75,"A",IF(V9&gt;=65,"B",IF(V9&gt;=50,"C",IF(V9&gt;=40,"S","W"))))</f>
        <v>W</v>
      </c>
      <c r="X9" s="44"/>
      <c r="Y9" s="33"/>
      <c r="Z9" s="44"/>
      <c r="AA9" s="33"/>
      <c r="AB9" s="99">
        <v>14</v>
      </c>
      <c r="AC9" s="106" t="str">
        <f t="shared" si="15"/>
        <v>W</v>
      </c>
      <c r="AD9" s="99">
        <v>50</v>
      </c>
      <c r="AE9" s="322" t="str">
        <f t="shared" si="16"/>
        <v>C</v>
      </c>
      <c r="AF9" s="34">
        <f t="shared" si="2"/>
        <v>277</v>
      </c>
      <c r="AG9" s="35">
        <f t="shared" si="17"/>
        <v>23.0833333333333</v>
      </c>
      <c r="AH9" s="34">
        <f t="shared" si="18"/>
        <v>27</v>
      </c>
      <c r="AI9" s="36">
        <f t="shared" si="3"/>
        <v>0</v>
      </c>
      <c r="AJ9" s="36">
        <f t="shared" si="4"/>
        <v>0</v>
      </c>
      <c r="AK9" s="36">
        <f t="shared" si="5"/>
        <v>1</v>
      </c>
      <c r="AL9" s="36">
        <f t="shared" si="19"/>
        <v>0</v>
      </c>
      <c r="AM9" s="36">
        <f t="shared" si="6"/>
        <v>11</v>
      </c>
      <c r="AN9" s="37">
        <f t="shared" si="20"/>
        <v>0</v>
      </c>
    </row>
    <row r="10" s="2" customFormat="1" ht="15" customHeight="1" spans="1:40">
      <c r="A10" s="39">
        <v>5</v>
      </c>
      <c r="B10" s="320" t="s">
        <v>108</v>
      </c>
      <c r="C10" s="26" t="s">
        <v>104</v>
      </c>
      <c r="D10" s="41">
        <v>24</v>
      </c>
      <c r="E10" s="29" t="str">
        <f t="shared" si="7"/>
        <v>W</v>
      </c>
      <c r="F10" s="41">
        <v>36</v>
      </c>
      <c r="G10" s="27" t="str">
        <f t="shared" si="8"/>
        <v>W</v>
      </c>
      <c r="H10" s="41">
        <v>39</v>
      </c>
      <c r="I10" s="29" t="str">
        <f t="shared" si="0"/>
        <v>W</v>
      </c>
      <c r="J10" s="41">
        <v>41</v>
      </c>
      <c r="K10" s="31" t="str">
        <f t="shared" si="9"/>
        <v>S</v>
      </c>
      <c r="L10" s="41">
        <v>30</v>
      </c>
      <c r="M10" s="29" t="str">
        <f t="shared" si="10"/>
        <v>W</v>
      </c>
      <c r="N10" s="41">
        <v>49</v>
      </c>
      <c r="O10" s="29" t="str">
        <f t="shared" si="11"/>
        <v>S</v>
      </c>
      <c r="P10" s="43">
        <v>51</v>
      </c>
      <c r="Q10" s="32" t="str">
        <f t="shared" si="1"/>
        <v>C</v>
      </c>
      <c r="R10" s="43">
        <v>31</v>
      </c>
      <c r="S10" s="32" t="str">
        <f t="shared" si="12"/>
        <v>W</v>
      </c>
      <c r="T10" s="43">
        <v>41</v>
      </c>
      <c r="U10" s="32" t="str">
        <f t="shared" si="13"/>
        <v>S</v>
      </c>
      <c r="V10" s="44">
        <v>65</v>
      </c>
      <c r="W10" s="33" t="str">
        <f t="shared" si="21"/>
        <v>B</v>
      </c>
      <c r="X10" s="44"/>
      <c r="Y10" s="33"/>
      <c r="Z10" s="44"/>
      <c r="AA10" s="33"/>
      <c r="AB10" s="99">
        <v>35</v>
      </c>
      <c r="AC10" s="106" t="str">
        <f t="shared" si="15"/>
        <v>W</v>
      </c>
      <c r="AD10" s="99">
        <v>85</v>
      </c>
      <c r="AE10" s="322" t="str">
        <f t="shared" si="16"/>
        <v>A</v>
      </c>
      <c r="AF10" s="34">
        <f t="shared" si="2"/>
        <v>527</v>
      </c>
      <c r="AG10" s="35">
        <f t="shared" si="17"/>
        <v>43.9166666666667</v>
      </c>
      <c r="AH10" s="34">
        <f t="shared" si="18"/>
        <v>13</v>
      </c>
      <c r="AI10" s="36">
        <f t="shared" si="3"/>
        <v>1</v>
      </c>
      <c r="AJ10" s="36">
        <f t="shared" si="4"/>
        <v>1</v>
      </c>
      <c r="AK10" s="36">
        <f t="shared" si="5"/>
        <v>1</v>
      </c>
      <c r="AL10" s="36">
        <f t="shared" si="19"/>
        <v>3</v>
      </c>
      <c r="AM10" s="36">
        <f t="shared" si="6"/>
        <v>6</v>
      </c>
      <c r="AN10" s="37">
        <f t="shared" si="20"/>
        <v>0</v>
      </c>
    </row>
    <row r="11" s="2" customFormat="1" ht="15" customHeight="1" spans="1:40">
      <c r="A11" s="24">
        <v>6</v>
      </c>
      <c r="B11" s="320" t="s">
        <v>109</v>
      </c>
      <c r="C11" s="26" t="s">
        <v>104</v>
      </c>
      <c r="D11" s="41">
        <v>12</v>
      </c>
      <c r="E11" s="29" t="str">
        <f t="shared" si="7"/>
        <v>W</v>
      </c>
      <c r="F11" s="41">
        <v>2</v>
      </c>
      <c r="G11" s="27" t="str">
        <f t="shared" si="8"/>
        <v>W</v>
      </c>
      <c r="H11" s="41">
        <v>14</v>
      </c>
      <c r="I11" s="29" t="str">
        <f t="shared" si="0"/>
        <v>W</v>
      </c>
      <c r="J11" s="41">
        <v>11</v>
      </c>
      <c r="K11" s="31" t="str">
        <f t="shared" si="9"/>
        <v>W</v>
      </c>
      <c r="L11" s="41">
        <v>14</v>
      </c>
      <c r="M11" s="29" t="str">
        <f t="shared" si="10"/>
        <v>W</v>
      </c>
      <c r="N11" s="41">
        <v>10</v>
      </c>
      <c r="O11" s="29" t="str">
        <f t="shared" si="11"/>
        <v>W</v>
      </c>
      <c r="P11" s="43">
        <v>24</v>
      </c>
      <c r="Q11" s="32" t="str">
        <f t="shared" si="1"/>
        <v>W</v>
      </c>
      <c r="R11" s="43">
        <v>12</v>
      </c>
      <c r="S11" s="32" t="str">
        <f t="shared" si="12"/>
        <v>W</v>
      </c>
      <c r="T11" s="43">
        <v>2</v>
      </c>
      <c r="U11" s="32" t="str">
        <f t="shared" si="13"/>
        <v>W</v>
      </c>
      <c r="V11" s="44">
        <v>42</v>
      </c>
      <c r="W11" s="33" t="str">
        <f t="shared" si="21"/>
        <v>S</v>
      </c>
      <c r="X11" s="44"/>
      <c r="Y11" s="33"/>
      <c r="Z11" s="44"/>
      <c r="AA11" s="33"/>
      <c r="AB11" s="99">
        <v>10</v>
      </c>
      <c r="AC11" s="106" t="str">
        <f t="shared" si="15"/>
        <v>W</v>
      </c>
      <c r="AD11" s="99">
        <v>40</v>
      </c>
      <c r="AE11" s="322" t="str">
        <f t="shared" si="16"/>
        <v>S</v>
      </c>
      <c r="AF11" s="34">
        <f t="shared" si="2"/>
        <v>193</v>
      </c>
      <c r="AG11" s="35">
        <f t="shared" si="17"/>
        <v>16.0833333333333</v>
      </c>
      <c r="AH11" s="34">
        <f t="shared" si="18"/>
        <v>28</v>
      </c>
      <c r="AI11" s="36">
        <f t="shared" si="3"/>
        <v>0</v>
      </c>
      <c r="AJ11" s="36">
        <f t="shared" si="4"/>
        <v>0</v>
      </c>
      <c r="AK11" s="36">
        <f t="shared" si="5"/>
        <v>0</v>
      </c>
      <c r="AL11" s="36">
        <f t="shared" si="19"/>
        <v>2</v>
      </c>
      <c r="AM11" s="36">
        <f t="shared" si="6"/>
        <v>10</v>
      </c>
      <c r="AN11" s="37">
        <f t="shared" si="20"/>
        <v>0</v>
      </c>
    </row>
    <row r="12" s="2" customFormat="1" ht="15" customHeight="1" spans="1:40">
      <c r="A12" s="24">
        <v>7</v>
      </c>
      <c r="B12" s="320" t="s">
        <v>110</v>
      </c>
      <c r="C12" s="26" t="s">
        <v>104</v>
      </c>
      <c r="D12" s="46" t="s">
        <v>29</v>
      </c>
      <c r="E12" s="46" t="s">
        <v>29</v>
      </c>
      <c r="F12" s="41">
        <v>4</v>
      </c>
      <c r="G12" s="27" t="str">
        <f t="shared" si="8"/>
        <v>W</v>
      </c>
      <c r="H12" s="41">
        <v>10</v>
      </c>
      <c r="I12" s="29" t="str">
        <f t="shared" si="0"/>
        <v>W</v>
      </c>
      <c r="J12" s="41">
        <v>22</v>
      </c>
      <c r="K12" s="31" t="str">
        <f t="shared" si="9"/>
        <v>W</v>
      </c>
      <c r="L12" s="41">
        <v>10</v>
      </c>
      <c r="M12" s="29" t="str">
        <f t="shared" si="10"/>
        <v>W</v>
      </c>
      <c r="N12" s="41">
        <v>14</v>
      </c>
      <c r="O12" s="29" t="str">
        <f t="shared" si="11"/>
        <v>W</v>
      </c>
      <c r="P12" s="42" t="s">
        <v>29</v>
      </c>
      <c r="Q12" s="42" t="s">
        <v>29</v>
      </c>
      <c r="R12" s="43">
        <v>24</v>
      </c>
      <c r="S12" s="32" t="str">
        <f t="shared" si="12"/>
        <v>W</v>
      </c>
      <c r="T12" s="43">
        <v>8</v>
      </c>
      <c r="U12" s="32" t="str">
        <f t="shared" si="13"/>
        <v>W</v>
      </c>
      <c r="V12" s="44"/>
      <c r="W12" s="33"/>
      <c r="X12" s="44">
        <v>46</v>
      </c>
      <c r="Y12" s="33" t="str">
        <f>IF(X12&gt;=75,"A",IF(X12&gt;=65,"B",IF(X12&gt;=50,"C",IF(X12&gt;=40,"S","W"))))</f>
        <v>S</v>
      </c>
      <c r="Z12" s="44"/>
      <c r="AA12" s="33"/>
      <c r="AB12" s="99">
        <v>10</v>
      </c>
      <c r="AC12" s="106" t="str">
        <f t="shared" si="15"/>
        <v>W</v>
      </c>
      <c r="AD12" s="99">
        <v>35</v>
      </c>
      <c r="AE12" s="322" t="str">
        <f t="shared" si="16"/>
        <v>W</v>
      </c>
      <c r="AF12" s="34">
        <f t="shared" si="2"/>
        <v>183</v>
      </c>
      <c r="AG12" s="35">
        <f t="shared" si="17"/>
        <v>15.25</v>
      </c>
      <c r="AH12" s="34">
        <f t="shared" si="18"/>
        <v>29</v>
      </c>
      <c r="AI12" s="36">
        <f t="shared" si="3"/>
        <v>0</v>
      </c>
      <c r="AJ12" s="36">
        <f t="shared" si="4"/>
        <v>0</v>
      </c>
      <c r="AK12" s="36">
        <f t="shared" si="5"/>
        <v>0</v>
      </c>
      <c r="AL12" s="36">
        <f t="shared" si="19"/>
        <v>1</v>
      </c>
      <c r="AM12" s="36">
        <f t="shared" si="6"/>
        <v>9</v>
      </c>
      <c r="AN12" s="37">
        <f t="shared" si="20"/>
        <v>2</v>
      </c>
    </row>
    <row r="13" s="2" customFormat="1" ht="15" customHeight="1" spans="1:40">
      <c r="A13" s="39">
        <v>8</v>
      </c>
      <c r="B13" s="320" t="s">
        <v>111</v>
      </c>
      <c r="C13" s="26" t="s">
        <v>104</v>
      </c>
      <c r="D13" s="41">
        <v>46</v>
      </c>
      <c r="E13" s="29" t="str">
        <f t="shared" si="7"/>
        <v>S</v>
      </c>
      <c r="F13" s="41">
        <v>39</v>
      </c>
      <c r="G13" s="27" t="str">
        <f t="shared" si="8"/>
        <v>W</v>
      </c>
      <c r="H13" s="41">
        <v>60</v>
      </c>
      <c r="I13" s="29" t="str">
        <f t="shared" si="0"/>
        <v>C</v>
      </c>
      <c r="J13" s="41">
        <v>61</v>
      </c>
      <c r="K13" s="31" t="str">
        <f t="shared" si="9"/>
        <v>C</v>
      </c>
      <c r="L13" s="41">
        <v>64</v>
      </c>
      <c r="M13" s="29" t="str">
        <f t="shared" si="10"/>
        <v>C</v>
      </c>
      <c r="N13" s="41">
        <v>43</v>
      </c>
      <c r="O13" s="29" t="str">
        <f t="shared" si="11"/>
        <v>S</v>
      </c>
      <c r="P13" s="43">
        <v>74</v>
      </c>
      <c r="Q13" s="32" t="str">
        <f t="shared" ref="Q13:Q34" si="22">IF(P13&gt;=75,"A",IF(P13&gt;=65,"B",IF(P13&gt;=50,"C",IF(F13&gt;=40,"S","W"))))</f>
        <v>B</v>
      </c>
      <c r="R13" s="43">
        <v>28</v>
      </c>
      <c r="S13" s="32" t="str">
        <f t="shared" si="12"/>
        <v>W</v>
      </c>
      <c r="T13" s="43">
        <v>43</v>
      </c>
      <c r="U13" s="32" t="str">
        <f t="shared" si="13"/>
        <v>S</v>
      </c>
      <c r="V13" s="44"/>
      <c r="W13" s="33"/>
      <c r="X13" s="44">
        <v>76</v>
      </c>
      <c r="Y13" s="33" t="str">
        <f t="shared" ref="Y13:Y14" si="23">IF(X13&gt;=75,"A",IF(X13&gt;=65,"B",IF(X13&gt;=50,"C",IF(X13&gt;=40,"S","W"))))</f>
        <v>A</v>
      </c>
      <c r="Z13" s="44"/>
      <c r="AA13" s="33"/>
      <c r="AB13" s="99">
        <v>68</v>
      </c>
      <c r="AC13" s="106" t="str">
        <f t="shared" si="15"/>
        <v>B</v>
      </c>
      <c r="AD13" s="99">
        <v>98</v>
      </c>
      <c r="AE13" s="322" t="str">
        <f t="shared" si="16"/>
        <v>A</v>
      </c>
      <c r="AF13" s="34">
        <f t="shared" si="2"/>
        <v>700</v>
      </c>
      <c r="AG13" s="35">
        <f t="shared" si="17"/>
        <v>58.3333333333333</v>
      </c>
      <c r="AH13" s="34">
        <f t="shared" si="18"/>
        <v>7</v>
      </c>
      <c r="AI13" s="36">
        <f t="shared" si="3"/>
        <v>2</v>
      </c>
      <c r="AJ13" s="36">
        <f t="shared" si="4"/>
        <v>2</v>
      </c>
      <c r="AK13" s="36">
        <f t="shared" si="5"/>
        <v>3</v>
      </c>
      <c r="AL13" s="36">
        <f t="shared" si="19"/>
        <v>3</v>
      </c>
      <c r="AM13" s="36">
        <f t="shared" si="6"/>
        <v>2</v>
      </c>
      <c r="AN13" s="37">
        <f t="shared" si="20"/>
        <v>0</v>
      </c>
    </row>
    <row r="14" s="2" customFormat="1" ht="15" customHeight="1" spans="1:40">
      <c r="A14" s="24">
        <v>9</v>
      </c>
      <c r="B14" s="320" t="s">
        <v>112</v>
      </c>
      <c r="C14" s="26" t="s">
        <v>104</v>
      </c>
      <c r="D14" s="41">
        <v>29</v>
      </c>
      <c r="E14" s="29" t="str">
        <f t="shared" si="7"/>
        <v>W</v>
      </c>
      <c r="F14" s="41">
        <v>13</v>
      </c>
      <c r="G14" s="27" t="str">
        <f t="shared" si="8"/>
        <v>W</v>
      </c>
      <c r="H14" s="41">
        <v>26</v>
      </c>
      <c r="I14" s="29" t="str">
        <f t="shared" si="0"/>
        <v>W</v>
      </c>
      <c r="J14" s="41">
        <v>47</v>
      </c>
      <c r="K14" s="31" t="str">
        <f t="shared" si="9"/>
        <v>S</v>
      </c>
      <c r="L14" s="41">
        <v>38</v>
      </c>
      <c r="M14" s="29" t="str">
        <f t="shared" si="10"/>
        <v>W</v>
      </c>
      <c r="N14" s="41">
        <v>28</v>
      </c>
      <c r="O14" s="29" t="str">
        <f t="shared" si="11"/>
        <v>W</v>
      </c>
      <c r="P14" s="43">
        <v>36</v>
      </c>
      <c r="Q14" s="32" t="str">
        <f t="shared" si="22"/>
        <v>W</v>
      </c>
      <c r="R14" s="43">
        <v>36</v>
      </c>
      <c r="S14" s="32" t="str">
        <f t="shared" si="12"/>
        <v>W</v>
      </c>
      <c r="T14" s="43">
        <v>15</v>
      </c>
      <c r="U14" s="32" t="str">
        <f t="shared" si="13"/>
        <v>W</v>
      </c>
      <c r="V14" s="44"/>
      <c r="W14" s="33"/>
      <c r="X14" s="44">
        <v>52</v>
      </c>
      <c r="Y14" s="33" t="str">
        <f t="shared" si="23"/>
        <v>C</v>
      </c>
      <c r="Z14" s="44"/>
      <c r="AA14" s="33"/>
      <c r="AB14" s="99">
        <v>18</v>
      </c>
      <c r="AC14" s="106" t="str">
        <f t="shared" si="15"/>
        <v>W</v>
      </c>
      <c r="AD14" s="99">
        <v>40</v>
      </c>
      <c r="AE14" s="322" t="str">
        <f t="shared" si="16"/>
        <v>S</v>
      </c>
      <c r="AF14" s="34">
        <f t="shared" si="2"/>
        <v>378</v>
      </c>
      <c r="AG14" s="35">
        <f t="shared" si="17"/>
        <v>31.5</v>
      </c>
      <c r="AH14" s="34">
        <f t="shared" si="18"/>
        <v>21</v>
      </c>
      <c r="AI14" s="36">
        <f t="shared" si="3"/>
        <v>0</v>
      </c>
      <c r="AJ14" s="36">
        <f t="shared" si="4"/>
        <v>0</v>
      </c>
      <c r="AK14" s="36">
        <f t="shared" si="5"/>
        <v>1</v>
      </c>
      <c r="AL14" s="36">
        <f t="shared" si="19"/>
        <v>2</v>
      </c>
      <c r="AM14" s="36">
        <f t="shared" si="6"/>
        <v>9</v>
      </c>
      <c r="AN14" s="37">
        <f t="shared" si="20"/>
        <v>0</v>
      </c>
    </row>
    <row r="15" s="2" customFormat="1" ht="15" customHeight="1" spans="1:40">
      <c r="A15" s="24">
        <v>10</v>
      </c>
      <c r="B15" s="320" t="s">
        <v>113</v>
      </c>
      <c r="C15" s="26" t="s">
        <v>104</v>
      </c>
      <c r="D15" s="41">
        <v>39</v>
      </c>
      <c r="E15" s="29" t="str">
        <f t="shared" si="7"/>
        <v>W</v>
      </c>
      <c r="F15" s="41">
        <v>29</v>
      </c>
      <c r="G15" s="27" t="str">
        <f t="shared" si="8"/>
        <v>W</v>
      </c>
      <c r="H15" s="41">
        <v>57</v>
      </c>
      <c r="I15" s="29" t="str">
        <f t="shared" si="0"/>
        <v>C</v>
      </c>
      <c r="J15" s="41">
        <v>56</v>
      </c>
      <c r="K15" s="31" t="str">
        <f t="shared" si="9"/>
        <v>C</v>
      </c>
      <c r="L15" s="41">
        <v>68</v>
      </c>
      <c r="M15" s="29" t="str">
        <f t="shared" si="10"/>
        <v>B</v>
      </c>
      <c r="N15" s="41">
        <v>68</v>
      </c>
      <c r="O15" s="29" t="str">
        <f t="shared" si="11"/>
        <v>B</v>
      </c>
      <c r="P15" s="43">
        <v>56</v>
      </c>
      <c r="Q15" s="32" t="str">
        <f t="shared" si="22"/>
        <v>C</v>
      </c>
      <c r="R15" s="43">
        <v>54</v>
      </c>
      <c r="S15" s="32" t="str">
        <f t="shared" si="12"/>
        <v>C</v>
      </c>
      <c r="T15" s="43">
        <v>40</v>
      </c>
      <c r="U15" s="32" t="str">
        <f t="shared" si="13"/>
        <v>S</v>
      </c>
      <c r="V15" s="44">
        <v>71</v>
      </c>
      <c r="W15" s="33" t="str">
        <f t="shared" si="21"/>
        <v>B</v>
      </c>
      <c r="X15" s="44"/>
      <c r="Y15" s="33"/>
      <c r="Z15" s="44"/>
      <c r="AA15" s="33"/>
      <c r="AB15" s="99">
        <v>60</v>
      </c>
      <c r="AC15" s="106" t="str">
        <f t="shared" si="15"/>
        <v>C</v>
      </c>
      <c r="AD15" s="99">
        <v>75</v>
      </c>
      <c r="AE15" s="322" t="str">
        <f t="shared" si="16"/>
        <v>A</v>
      </c>
      <c r="AF15" s="34">
        <f t="shared" si="2"/>
        <v>673</v>
      </c>
      <c r="AG15" s="35">
        <f t="shared" si="17"/>
        <v>56.0833333333333</v>
      </c>
      <c r="AH15" s="34">
        <f t="shared" si="18"/>
        <v>8</v>
      </c>
      <c r="AI15" s="36">
        <f t="shared" si="3"/>
        <v>1</v>
      </c>
      <c r="AJ15" s="36">
        <f t="shared" si="4"/>
        <v>3</v>
      </c>
      <c r="AK15" s="36">
        <f t="shared" si="5"/>
        <v>5</v>
      </c>
      <c r="AL15" s="36">
        <f t="shared" si="19"/>
        <v>1</v>
      </c>
      <c r="AM15" s="36">
        <f t="shared" si="6"/>
        <v>2</v>
      </c>
      <c r="AN15" s="37">
        <f t="shared" si="20"/>
        <v>0</v>
      </c>
    </row>
    <row r="16" s="2" customFormat="1" ht="15" customHeight="1" spans="1:40">
      <c r="A16" s="39">
        <v>11</v>
      </c>
      <c r="B16" s="320" t="s">
        <v>114</v>
      </c>
      <c r="C16" s="26" t="s">
        <v>104</v>
      </c>
      <c r="D16" s="41">
        <v>29</v>
      </c>
      <c r="E16" s="29" t="str">
        <f t="shared" si="7"/>
        <v>W</v>
      </c>
      <c r="F16" s="41">
        <v>7</v>
      </c>
      <c r="G16" s="27" t="str">
        <f t="shared" si="8"/>
        <v>W</v>
      </c>
      <c r="H16" s="41">
        <v>47</v>
      </c>
      <c r="I16" s="29" t="str">
        <f t="shared" si="0"/>
        <v>S</v>
      </c>
      <c r="J16" s="41">
        <v>44</v>
      </c>
      <c r="K16" s="31" t="str">
        <f t="shared" si="9"/>
        <v>S</v>
      </c>
      <c r="L16" s="41">
        <v>52</v>
      </c>
      <c r="M16" s="29" t="str">
        <f t="shared" si="10"/>
        <v>C</v>
      </c>
      <c r="N16" s="41">
        <v>27</v>
      </c>
      <c r="O16" s="29" t="str">
        <f t="shared" si="11"/>
        <v>W</v>
      </c>
      <c r="P16" s="43">
        <v>29</v>
      </c>
      <c r="Q16" s="32" t="str">
        <f t="shared" si="22"/>
        <v>W</v>
      </c>
      <c r="R16" s="43">
        <v>32</v>
      </c>
      <c r="S16" s="32" t="str">
        <f t="shared" si="12"/>
        <v>W</v>
      </c>
      <c r="T16" s="43">
        <v>20</v>
      </c>
      <c r="U16" s="32" t="str">
        <f t="shared" si="13"/>
        <v>W</v>
      </c>
      <c r="V16" s="44">
        <v>51</v>
      </c>
      <c r="W16" s="33" t="str">
        <f t="shared" si="21"/>
        <v>C</v>
      </c>
      <c r="X16" s="44"/>
      <c r="Y16" s="33"/>
      <c r="Z16" s="44"/>
      <c r="AA16" s="33"/>
      <c r="AB16" s="99">
        <v>39</v>
      </c>
      <c r="AC16" s="106" t="str">
        <f t="shared" si="15"/>
        <v>W</v>
      </c>
      <c r="AD16" s="99">
        <v>75</v>
      </c>
      <c r="AE16" s="322" t="str">
        <f t="shared" si="16"/>
        <v>A</v>
      </c>
      <c r="AF16" s="34">
        <f t="shared" si="2"/>
        <v>452</v>
      </c>
      <c r="AG16" s="35">
        <f t="shared" si="17"/>
        <v>37.6666666666667</v>
      </c>
      <c r="AH16" s="34">
        <f t="shared" si="18"/>
        <v>18</v>
      </c>
      <c r="AI16" s="36">
        <f t="shared" si="3"/>
        <v>1</v>
      </c>
      <c r="AJ16" s="36">
        <f t="shared" si="4"/>
        <v>0</v>
      </c>
      <c r="AK16" s="36">
        <f t="shared" si="5"/>
        <v>2</v>
      </c>
      <c r="AL16" s="36">
        <f t="shared" si="19"/>
        <v>2</v>
      </c>
      <c r="AM16" s="36">
        <f t="shared" si="6"/>
        <v>7</v>
      </c>
      <c r="AN16" s="37">
        <f t="shared" si="20"/>
        <v>0</v>
      </c>
    </row>
    <row r="17" s="2" customFormat="1" ht="15" customHeight="1" spans="1:40">
      <c r="A17" s="24">
        <v>12</v>
      </c>
      <c r="B17" s="320" t="s">
        <v>115</v>
      </c>
      <c r="C17" s="26" t="s">
        <v>104</v>
      </c>
      <c r="D17" s="41">
        <v>31</v>
      </c>
      <c r="E17" s="29" t="str">
        <f t="shared" si="7"/>
        <v>W</v>
      </c>
      <c r="F17" s="41">
        <v>50</v>
      </c>
      <c r="G17" s="27" t="str">
        <f t="shared" si="8"/>
        <v>C</v>
      </c>
      <c r="H17" s="41">
        <v>53</v>
      </c>
      <c r="I17" s="29" t="str">
        <f t="shared" si="0"/>
        <v>C</v>
      </c>
      <c r="J17" s="41">
        <v>68</v>
      </c>
      <c r="K17" s="31" t="str">
        <f t="shared" si="9"/>
        <v>B</v>
      </c>
      <c r="L17" s="41">
        <v>61</v>
      </c>
      <c r="M17" s="29" t="str">
        <f t="shared" si="10"/>
        <v>C</v>
      </c>
      <c r="N17" s="41">
        <v>62</v>
      </c>
      <c r="O17" s="29" t="str">
        <f t="shared" si="11"/>
        <v>C</v>
      </c>
      <c r="P17" s="43">
        <v>79</v>
      </c>
      <c r="Q17" s="32" t="str">
        <f t="shared" si="22"/>
        <v>A</v>
      </c>
      <c r="R17" s="43">
        <v>52</v>
      </c>
      <c r="S17" s="32" t="str">
        <f t="shared" si="12"/>
        <v>C</v>
      </c>
      <c r="T17" s="43">
        <v>62</v>
      </c>
      <c r="U17" s="32" t="str">
        <f t="shared" si="13"/>
        <v>C</v>
      </c>
      <c r="V17" s="44">
        <v>79</v>
      </c>
      <c r="W17" s="33" t="str">
        <f t="shared" si="21"/>
        <v>A</v>
      </c>
      <c r="X17" s="44"/>
      <c r="Y17" s="33"/>
      <c r="Z17" s="44"/>
      <c r="AA17" s="33"/>
      <c r="AB17" s="99">
        <v>53</v>
      </c>
      <c r="AC17" s="106" t="str">
        <f t="shared" si="15"/>
        <v>C</v>
      </c>
      <c r="AD17" s="99">
        <v>80</v>
      </c>
      <c r="AE17" s="322" t="str">
        <f t="shared" si="16"/>
        <v>A</v>
      </c>
      <c r="AF17" s="34">
        <f t="shared" si="2"/>
        <v>730</v>
      </c>
      <c r="AG17" s="35">
        <f t="shared" si="17"/>
        <v>60.8333333333333</v>
      </c>
      <c r="AH17" s="34">
        <f t="shared" si="18"/>
        <v>4</v>
      </c>
      <c r="AI17" s="36">
        <f t="shared" si="3"/>
        <v>3</v>
      </c>
      <c r="AJ17" s="36">
        <f t="shared" si="4"/>
        <v>1</v>
      </c>
      <c r="AK17" s="36">
        <f t="shared" si="5"/>
        <v>7</v>
      </c>
      <c r="AL17" s="36">
        <f t="shared" si="19"/>
        <v>0</v>
      </c>
      <c r="AM17" s="36">
        <f t="shared" si="6"/>
        <v>1</v>
      </c>
      <c r="AN17" s="37">
        <f t="shared" si="20"/>
        <v>0</v>
      </c>
    </row>
    <row r="18" s="2" customFormat="1" ht="15" customHeight="1" spans="1:40">
      <c r="A18" s="24">
        <v>13</v>
      </c>
      <c r="B18" s="320" t="s">
        <v>116</v>
      </c>
      <c r="C18" s="26" t="s">
        <v>104</v>
      </c>
      <c r="D18" s="41">
        <v>10</v>
      </c>
      <c r="E18" s="29" t="str">
        <f t="shared" si="7"/>
        <v>W</v>
      </c>
      <c r="F18" s="41">
        <v>11</v>
      </c>
      <c r="G18" s="27" t="str">
        <f t="shared" si="8"/>
        <v>W</v>
      </c>
      <c r="H18" s="41">
        <v>18</v>
      </c>
      <c r="I18" s="29" t="str">
        <f t="shared" si="0"/>
        <v>W</v>
      </c>
      <c r="J18" s="41">
        <v>40</v>
      </c>
      <c r="K18" s="31" t="str">
        <f t="shared" si="9"/>
        <v>S</v>
      </c>
      <c r="L18" s="41">
        <v>40</v>
      </c>
      <c r="M18" s="29" t="str">
        <f t="shared" si="10"/>
        <v>S</v>
      </c>
      <c r="N18" s="41">
        <v>44</v>
      </c>
      <c r="O18" s="29" t="str">
        <f t="shared" si="11"/>
        <v>S</v>
      </c>
      <c r="P18" s="43">
        <v>19</v>
      </c>
      <c r="Q18" s="32" t="str">
        <f t="shared" si="22"/>
        <v>W</v>
      </c>
      <c r="R18" s="43">
        <v>29</v>
      </c>
      <c r="S18" s="32" t="str">
        <f t="shared" si="12"/>
        <v>W</v>
      </c>
      <c r="T18" s="43">
        <v>4</v>
      </c>
      <c r="U18" s="32" t="str">
        <f t="shared" si="13"/>
        <v>W</v>
      </c>
      <c r="V18" s="44">
        <v>49</v>
      </c>
      <c r="W18" s="33" t="str">
        <f t="shared" si="21"/>
        <v>S</v>
      </c>
      <c r="X18" s="44"/>
      <c r="Y18" s="33"/>
      <c r="Z18" s="44"/>
      <c r="AA18" s="33"/>
      <c r="AB18" s="99">
        <v>14</v>
      </c>
      <c r="AC18" s="106" t="str">
        <f t="shared" si="15"/>
        <v>W</v>
      </c>
      <c r="AD18" s="99">
        <v>50</v>
      </c>
      <c r="AE18" s="322" t="str">
        <f t="shared" si="16"/>
        <v>C</v>
      </c>
      <c r="AF18" s="34">
        <f t="shared" si="2"/>
        <v>328</v>
      </c>
      <c r="AG18" s="35">
        <f t="shared" si="17"/>
        <v>27.3333333333333</v>
      </c>
      <c r="AH18" s="34">
        <f t="shared" si="18"/>
        <v>24</v>
      </c>
      <c r="AI18" s="36">
        <f t="shared" si="3"/>
        <v>0</v>
      </c>
      <c r="AJ18" s="36">
        <f t="shared" si="4"/>
        <v>0</v>
      </c>
      <c r="AK18" s="36">
        <f t="shared" si="5"/>
        <v>1</v>
      </c>
      <c r="AL18" s="36">
        <f t="shared" si="19"/>
        <v>4</v>
      </c>
      <c r="AM18" s="36">
        <f t="shared" si="6"/>
        <v>7</v>
      </c>
      <c r="AN18" s="37">
        <f t="shared" si="20"/>
        <v>0</v>
      </c>
    </row>
    <row r="19" s="2" customFormat="1" ht="15" customHeight="1" spans="1:40">
      <c r="A19" s="39">
        <v>14</v>
      </c>
      <c r="B19" s="320" t="s">
        <v>117</v>
      </c>
      <c r="C19" s="26" t="s">
        <v>104</v>
      </c>
      <c r="D19" s="41">
        <v>40</v>
      </c>
      <c r="E19" s="29" t="str">
        <f t="shared" si="7"/>
        <v>S</v>
      </c>
      <c r="F19" s="41">
        <v>41</v>
      </c>
      <c r="G19" s="27" t="str">
        <f t="shared" si="8"/>
        <v>S</v>
      </c>
      <c r="H19" s="41">
        <v>65</v>
      </c>
      <c r="I19" s="29" t="str">
        <f t="shared" si="0"/>
        <v>B</v>
      </c>
      <c r="J19" s="41">
        <v>54</v>
      </c>
      <c r="K19" s="31" t="str">
        <f t="shared" si="9"/>
        <v>C</v>
      </c>
      <c r="L19" s="41">
        <v>59</v>
      </c>
      <c r="M19" s="29" t="str">
        <f t="shared" si="10"/>
        <v>C</v>
      </c>
      <c r="N19" s="41">
        <v>51</v>
      </c>
      <c r="O19" s="29" t="str">
        <f t="shared" si="11"/>
        <v>C</v>
      </c>
      <c r="P19" s="43">
        <v>64</v>
      </c>
      <c r="Q19" s="32" t="str">
        <f t="shared" si="22"/>
        <v>C</v>
      </c>
      <c r="R19" s="43">
        <v>42</v>
      </c>
      <c r="S19" s="32" t="str">
        <f t="shared" si="12"/>
        <v>S</v>
      </c>
      <c r="T19" s="43">
        <v>37</v>
      </c>
      <c r="U19" s="32" t="str">
        <f t="shared" si="13"/>
        <v>W</v>
      </c>
      <c r="V19" s="44"/>
      <c r="W19" s="33"/>
      <c r="X19" s="44"/>
      <c r="Y19" s="33"/>
      <c r="Z19" s="44">
        <v>35</v>
      </c>
      <c r="AA19" s="33" t="str">
        <f t="shared" si="14"/>
        <v>W</v>
      </c>
      <c r="AB19" s="99">
        <v>65</v>
      </c>
      <c r="AC19" s="106" t="str">
        <f t="shared" si="15"/>
        <v>B</v>
      </c>
      <c r="AD19" s="99">
        <v>60</v>
      </c>
      <c r="AE19" s="322" t="str">
        <f t="shared" si="16"/>
        <v>C</v>
      </c>
      <c r="AF19" s="34">
        <f t="shared" si="2"/>
        <v>613</v>
      </c>
      <c r="AG19" s="35">
        <f t="shared" si="17"/>
        <v>51.0833333333333</v>
      </c>
      <c r="AH19" s="34">
        <f t="shared" si="18"/>
        <v>11</v>
      </c>
      <c r="AI19" s="36">
        <f t="shared" si="3"/>
        <v>0</v>
      </c>
      <c r="AJ19" s="36">
        <f t="shared" si="4"/>
        <v>2</v>
      </c>
      <c r="AK19" s="36">
        <f t="shared" si="5"/>
        <v>5</v>
      </c>
      <c r="AL19" s="36">
        <f t="shared" si="19"/>
        <v>3</v>
      </c>
      <c r="AM19" s="36">
        <f t="shared" si="6"/>
        <v>2</v>
      </c>
      <c r="AN19" s="37">
        <f t="shared" si="20"/>
        <v>0</v>
      </c>
    </row>
    <row r="20" s="2" customFormat="1" ht="15" customHeight="1" spans="1:40">
      <c r="A20" s="24">
        <v>15</v>
      </c>
      <c r="B20" s="320" t="s">
        <v>118</v>
      </c>
      <c r="C20" s="26" t="s">
        <v>104</v>
      </c>
      <c r="D20" s="41">
        <v>28</v>
      </c>
      <c r="E20" s="29" t="str">
        <f t="shared" si="7"/>
        <v>W</v>
      </c>
      <c r="F20" s="41">
        <v>5</v>
      </c>
      <c r="G20" s="27" t="str">
        <f t="shared" si="8"/>
        <v>W</v>
      </c>
      <c r="H20" s="41">
        <v>29</v>
      </c>
      <c r="I20" s="29" t="str">
        <f t="shared" si="0"/>
        <v>W</v>
      </c>
      <c r="J20" s="46" t="s">
        <v>29</v>
      </c>
      <c r="K20" s="46" t="s">
        <v>29</v>
      </c>
      <c r="L20" s="41">
        <v>24</v>
      </c>
      <c r="M20" s="29" t="str">
        <f t="shared" si="10"/>
        <v>W</v>
      </c>
      <c r="N20" s="41">
        <v>21</v>
      </c>
      <c r="O20" s="29" t="str">
        <f t="shared" si="11"/>
        <v>W</v>
      </c>
      <c r="P20" s="43">
        <v>29</v>
      </c>
      <c r="Q20" s="32" t="str">
        <f t="shared" si="22"/>
        <v>W</v>
      </c>
      <c r="R20" s="43">
        <v>15</v>
      </c>
      <c r="S20" s="32" t="str">
        <f t="shared" si="12"/>
        <v>W</v>
      </c>
      <c r="T20" s="43">
        <v>10</v>
      </c>
      <c r="U20" s="32" t="str">
        <f t="shared" si="13"/>
        <v>W</v>
      </c>
      <c r="V20" s="44"/>
      <c r="W20" s="33"/>
      <c r="X20" s="44">
        <v>69</v>
      </c>
      <c r="Y20" s="33" t="str">
        <f>IF(X20&gt;=75,"A",IF(X20&gt;=65,"B",IF(X20&gt;=50,"C",IF(X20&gt;=40,"S","W"))))</f>
        <v>B</v>
      </c>
      <c r="Z20" s="44"/>
      <c r="AA20" s="33"/>
      <c r="AB20" s="99">
        <v>40</v>
      </c>
      <c r="AC20" s="106" t="str">
        <f t="shared" si="15"/>
        <v>S</v>
      </c>
      <c r="AD20" s="99">
        <v>70</v>
      </c>
      <c r="AE20" s="322" t="str">
        <f t="shared" si="16"/>
        <v>B</v>
      </c>
      <c r="AF20" s="34">
        <f t="shared" si="2"/>
        <v>340</v>
      </c>
      <c r="AG20" s="35">
        <f t="shared" si="17"/>
        <v>28.3333333333333</v>
      </c>
      <c r="AH20" s="34">
        <f t="shared" si="18"/>
        <v>23</v>
      </c>
      <c r="AI20" s="36">
        <f t="shared" si="3"/>
        <v>0</v>
      </c>
      <c r="AJ20" s="36">
        <f t="shared" si="4"/>
        <v>2</v>
      </c>
      <c r="AK20" s="36">
        <f t="shared" si="5"/>
        <v>0</v>
      </c>
      <c r="AL20" s="36">
        <f t="shared" si="19"/>
        <v>1</v>
      </c>
      <c r="AM20" s="36">
        <f t="shared" si="6"/>
        <v>8</v>
      </c>
      <c r="AN20" s="37">
        <f t="shared" si="20"/>
        <v>1</v>
      </c>
    </row>
    <row r="21" s="2" customFormat="1" ht="15" customHeight="1" spans="1:40">
      <c r="A21" s="24">
        <v>16</v>
      </c>
      <c r="B21" s="320" t="s">
        <v>119</v>
      </c>
      <c r="C21" s="26" t="s">
        <v>104</v>
      </c>
      <c r="D21" s="41">
        <v>48</v>
      </c>
      <c r="E21" s="29" t="str">
        <f t="shared" si="7"/>
        <v>S</v>
      </c>
      <c r="F21" s="41">
        <v>26</v>
      </c>
      <c r="G21" s="27" t="str">
        <f t="shared" si="8"/>
        <v>W</v>
      </c>
      <c r="H21" s="41">
        <v>78</v>
      </c>
      <c r="I21" s="29" t="str">
        <f t="shared" si="0"/>
        <v>A</v>
      </c>
      <c r="J21" s="41">
        <v>85</v>
      </c>
      <c r="K21" s="31" t="str">
        <f t="shared" si="9"/>
        <v>A</v>
      </c>
      <c r="L21" s="41">
        <v>68</v>
      </c>
      <c r="M21" s="29" t="str">
        <f t="shared" si="10"/>
        <v>B</v>
      </c>
      <c r="N21" s="41">
        <v>57</v>
      </c>
      <c r="O21" s="29" t="str">
        <f t="shared" si="11"/>
        <v>C</v>
      </c>
      <c r="P21" s="43">
        <v>73</v>
      </c>
      <c r="Q21" s="32" t="str">
        <f t="shared" si="22"/>
        <v>B</v>
      </c>
      <c r="R21" s="43">
        <v>50</v>
      </c>
      <c r="S21" s="32" t="str">
        <f t="shared" si="12"/>
        <v>C</v>
      </c>
      <c r="T21" s="43">
        <v>36</v>
      </c>
      <c r="U21" s="32" t="str">
        <f t="shared" si="13"/>
        <v>W</v>
      </c>
      <c r="V21" s="44"/>
      <c r="W21" s="33"/>
      <c r="X21" s="44">
        <v>80</v>
      </c>
      <c r="Y21" s="33" t="str">
        <f t="shared" ref="Y21:Y34" si="24">IF(X21&gt;=75,"A",IF(X21&gt;=65,"B",IF(X21&gt;=50,"C",IF(X21&gt;=40,"S","W"))))</f>
        <v>A</v>
      </c>
      <c r="Z21" s="44"/>
      <c r="AA21" s="33"/>
      <c r="AB21" s="99">
        <v>70</v>
      </c>
      <c r="AC21" s="106" t="str">
        <f t="shared" si="15"/>
        <v>B</v>
      </c>
      <c r="AD21" s="99">
        <v>85</v>
      </c>
      <c r="AE21" s="322" t="str">
        <f t="shared" si="16"/>
        <v>A</v>
      </c>
      <c r="AF21" s="34">
        <f t="shared" si="2"/>
        <v>756</v>
      </c>
      <c r="AG21" s="35">
        <f t="shared" si="17"/>
        <v>63</v>
      </c>
      <c r="AH21" s="34">
        <f t="shared" si="18"/>
        <v>3</v>
      </c>
      <c r="AI21" s="36">
        <f t="shared" si="3"/>
        <v>4</v>
      </c>
      <c r="AJ21" s="36">
        <f t="shared" si="4"/>
        <v>3</v>
      </c>
      <c r="AK21" s="36">
        <f t="shared" si="5"/>
        <v>2</v>
      </c>
      <c r="AL21" s="36">
        <f t="shared" si="19"/>
        <v>1</v>
      </c>
      <c r="AM21" s="36">
        <f t="shared" si="6"/>
        <v>2</v>
      </c>
      <c r="AN21" s="37">
        <f t="shared" si="20"/>
        <v>0</v>
      </c>
    </row>
    <row r="22" s="2" customFormat="1" ht="15" customHeight="1" spans="1:40">
      <c r="A22" s="39">
        <v>17</v>
      </c>
      <c r="B22" s="320" t="s">
        <v>120</v>
      </c>
      <c r="C22" s="26" t="s">
        <v>104</v>
      </c>
      <c r="D22" s="41">
        <v>37</v>
      </c>
      <c r="E22" s="29" t="str">
        <f t="shared" si="7"/>
        <v>W</v>
      </c>
      <c r="F22" s="41">
        <v>7</v>
      </c>
      <c r="G22" s="27" t="str">
        <f t="shared" si="8"/>
        <v>W</v>
      </c>
      <c r="H22" s="41">
        <v>36</v>
      </c>
      <c r="I22" s="29" t="str">
        <f t="shared" si="0"/>
        <v>W</v>
      </c>
      <c r="J22" s="41">
        <v>37</v>
      </c>
      <c r="K22" s="31" t="str">
        <f t="shared" si="9"/>
        <v>W</v>
      </c>
      <c r="L22" s="41">
        <v>19</v>
      </c>
      <c r="M22" s="29" t="str">
        <f t="shared" si="10"/>
        <v>W</v>
      </c>
      <c r="N22" s="41">
        <v>30</v>
      </c>
      <c r="O22" s="29" t="str">
        <f t="shared" si="11"/>
        <v>W</v>
      </c>
      <c r="P22" s="43">
        <v>30</v>
      </c>
      <c r="Q22" s="32" t="str">
        <f t="shared" si="22"/>
        <v>W</v>
      </c>
      <c r="R22" s="43">
        <v>26</v>
      </c>
      <c r="S22" s="32" t="str">
        <f t="shared" si="12"/>
        <v>W</v>
      </c>
      <c r="T22" s="43">
        <v>16</v>
      </c>
      <c r="U22" s="32" t="str">
        <f t="shared" si="13"/>
        <v>W</v>
      </c>
      <c r="V22" s="44"/>
      <c r="W22" s="33"/>
      <c r="X22" s="44">
        <v>64</v>
      </c>
      <c r="Y22" s="33" t="str">
        <f t="shared" si="24"/>
        <v>C</v>
      </c>
      <c r="Z22" s="44"/>
      <c r="AA22" s="33"/>
      <c r="AB22" s="99">
        <v>54</v>
      </c>
      <c r="AC22" s="106" t="str">
        <f t="shared" si="15"/>
        <v>C</v>
      </c>
      <c r="AD22" s="99">
        <v>65</v>
      </c>
      <c r="AE22" s="322" t="str">
        <f t="shared" si="16"/>
        <v>B</v>
      </c>
      <c r="AF22" s="34">
        <f t="shared" si="2"/>
        <v>421</v>
      </c>
      <c r="AG22" s="35">
        <f t="shared" si="17"/>
        <v>35.0833333333333</v>
      </c>
      <c r="AH22" s="34">
        <f t="shared" si="18"/>
        <v>20</v>
      </c>
      <c r="AI22" s="36">
        <f t="shared" si="3"/>
        <v>0</v>
      </c>
      <c r="AJ22" s="36">
        <f t="shared" si="4"/>
        <v>1</v>
      </c>
      <c r="AK22" s="36">
        <f t="shared" si="5"/>
        <v>2</v>
      </c>
      <c r="AL22" s="36">
        <f t="shared" si="19"/>
        <v>0</v>
      </c>
      <c r="AM22" s="36">
        <f t="shared" si="6"/>
        <v>9</v>
      </c>
      <c r="AN22" s="37">
        <f t="shared" si="20"/>
        <v>0</v>
      </c>
    </row>
    <row r="23" s="2" customFormat="1" ht="15" customHeight="1" spans="1:40">
      <c r="A23" s="24">
        <v>18</v>
      </c>
      <c r="B23" s="320" t="s">
        <v>121</v>
      </c>
      <c r="C23" s="26" t="s">
        <v>104</v>
      </c>
      <c r="D23" s="41">
        <v>68</v>
      </c>
      <c r="E23" s="29" t="str">
        <f t="shared" si="7"/>
        <v>B</v>
      </c>
      <c r="F23" s="41">
        <v>43</v>
      </c>
      <c r="G23" s="27" t="str">
        <f t="shared" si="8"/>
        <v>S</v>
      </c>
      <c r="H23" s="41">
        <v>87</v>
      </c>
      <c r="I23" s="29" t="str">
        <f t="shared" si="0"/>
        <v>A</v>
      </c>
      <c r="J23" s="41">
        <v>78</v>
      </c>
      <c r="K23" s="31" t="str">
        <f t="shared" si="9"/>
        <v>A</v>
      </c>
      <c r="L23" s="41">
        <v>51</v>
      </c>
      <c r="M23" s="29" t="str">
        <f t="shared" si="10"/>
        <v>C</v>
      </c>
      <c r="N23" s="41">
        <v>51</v>
      </c>
      <c r="O23" s="29" t="str">
        <f t="shared" si="11"/>
        <v>C</v>
      </c>
      <c r="P23" s="43">
        <v>72</v>
      </c>
      <c r="Q23" s="32" t="str">
        <f t="shared" si="22"/>
        <v>B</v>
      </c>
      <c r="R23" s="43">
        <v>36</v>
      </c>
      <c r="S23" s="32" t="str">
        <f t="shared" si="12"/>
        <v>W</v>
      </c>
      <c r="T23" s="43">
        <v>61</v>
      </c>
      <c r="U23" s="32" t="str">
        <f t="shared" si="13"/>
        <v>C</v>
      </c>
      <c r="V23" s="44"/>
      <c r="W23" s="33"/>
      <c r="X23" s="44">
        <v>90</v>
      </c>
      <c r="Y23" s="33" t="str">
        <f t="shared" si="24"/>
        <v>A</v>
      </c>
      <c r="Z23" s="44"/>
      <c r="AA23" s="33"/>
      <c r="AB23" s="99">
        <v>63</v>
      </c>
      <c r="AC23" s="106" t="str">
        <f t="shared" si="15"/>
        <v>C</v>
      </c>
      <c r="AD23" s="99">
        <v>97</v>
      </c>
      <c r="AE23" s="322" t="str">
        <f t="shared" si="16"/>
        <v>A</v>
      </c>
      <c r="AF23" s="34">
        <f t="shared" si="2"/>
        <v>797</v>
      </c>
      <c r="AG23" s="35">
        <f t="shared" si="17"/>
        <v>66.4166666666667</v>
      </c>
      <c r="AH23" s="34">
        <f t="shared" si="18"/>
        <v>1</v>
      </c>
      <c r="AI23" s="36">
        <f t="shared" si="3"/>
        <v>4</v>
      </c>
      <c r="AJ23" s="36">
        <f t="shared" si="4"/>
        <v>2</v>
      </c>
      <c r="AK23" s="36">
        <f t="shared" si="5"/>
        <v>4</v>
      </c>
      <c r="AL23" s="36">
        <f t="shared" si="19"/>
        <v>1</v>
      </c>
      <c r="AM23" s="36">
        <f t="shared" si="6"/>
        <v>1</v>
      </c>
      <c r="AN23" s="37">
        <f t="shared" si="20"/>
        <v>0</v>
      </c>
    </row>
    <row r="24" s="2" customFormat="1" ht="15" customHeight="1" spans="1:40">
      <c r="A24" s="24">
        <v>19</v>
      </c>
      <c r="B24" s="320" t="s">
        <v>122</v>
      </c>
      <c r="C24" s="26" t="s">
        <v>104</v>
      </c>
      <c r="D24" s="41">
        <v>52</v>
      </c>
      <c r="E24" s="29" t="str">
        <f t="shared" si="7"/>
        <v>C</v>
      </c>
      <c r="F24" s="41">
        <v>25</v>
      </c>
      <c r="G24" s="27" t="str">
        <f t="shared" si="8"/>
        <v>W</v>
      </c>
      <c r="H24" s="41">
        <v>61</v>
      </c>
      <c r="I24" s="29" t="str">
        <f t="shared" si="0"/>
        <v>C</v>
      </c>
      <c r="J24" s="41">
        <v>71</v>
      </c>
      <c r="K24" s="31" t="str">
        <f t="shared" si="9"/>
        <v>B</v>
      </c>
      <c r="L24" s="41">
        <v>53</v>
      </c>
      <c r="M24" s="29" t="str">
        <f t="shared" si="10"/>
        <v>C</v>
      </c>
      <c r="N24" s="41">
        <v>57</v>
      </c>
      <c r="O24" s="29" t="str">
        <f t="shared" si="11"/>
        <v>C</v>
      </c>
      <c r="P24" s="43">
        <v>87</v>
      </c>
      <c r="Q24" s="32" t="str">
        <f t="shared" si="22"/>
        <v>A</v>
      </c>
      <c r="R24" s="43">
        <v>27</v>
      </c>
      <c r="S24" s="32" t="str">
        <f t="shared" si="12"/>
        <v>W</v>
      </c>
      <c r="T24" s="43">
        <v>16</v>
      </c>
      <c r="U24" s="32" t="str">
        <f t="shared" si="13"/>
        <v>W</v>
      </c>
      <c r="V24" s="44"/>
      <c r="W24" s="33"/>
      <c r="X24" s="44">
        <v>64</v>
      </c>
      <c r="Y24" s="33" t="str">
        <f t="shared" si="24"/>
        <v>C</v>
      </c>
      <c r="Z24" s="44"/>
      <c r="AA24" s="33"/>
      <c r="AB24" s="99">
        <v>68</v>
      </c>
      <c r="AC24" s="106" t="str">
        <f t="shared" si="15"/>
        <v>B</v>
      </c>
      <c r="AD24" s="99">
        <v>90</v>
      </c>
      <c r="AE24" s="322" t="str">
        <f t="shared" si="16"/>
        <v>A</v>
      </c>
      <c r="AF24" s="34">
        <f t="shared" si="2"/>
        <v>671</v>
      </c>
      <c r="AG24" s="35">
        <f t="shared" si="17"/>
        <v>55.9166666666667</v>
      </c>
      <c r="AH24" s="34">
        <f t="shared" si="18"/>
        <v>9</v>
      </c>
      <c r="AI24" s="36">
        <f t="shared" si="3"/>
        <v>2</v>
      </c>
      <c r="AJ24" s="36">
        <f t="shared" si="4"/>
        <v>2</v>
      </c>
      <c r="AK24" s="36">
        <f t="shared" si="5"/>
        <v>5</v>
      </c>
      <c r="AL24" s="36">
        <f t="shared" si="19"/>
        <v>0</v>
      </c>
      <c r="AM24" s="36">
        <f t="shared" si="6"/>
        <v>3</v>
      </c>
      <c r="AN24" s="37">
        <f t="shared" si="20"/>
        <v>0</v>
      </c>
    </row>
    <row r="25" s="2" customFormat="1" ht="15" customHeight="1" spans="1:40">
      <c r="A25" s="39">
        <v>20</v>
      </c>
      <c r="B25" s="320" t="s">
        <v>123</v>
      </c>
      <c r="C25" s="26" t="s">
        <v>104</v>
      </c>
      <c r="D25" s="41">
        <v>69</v>
      </c>
      <c r="E25" s="29" t="str">
        <f t="shared" si="7"/>
        <v>B</v>
      </c>
      <c r="F25" s="41">
        <v>35</v>
      </c>
      <c r="G25" s="27" t="str">
        <f t="shared" si="8"/>
        <v>W</v>
      </c>
      <c r="H25" s="41">
        <v>73</v>
      </c>
      <c r="I25" s="29" t="str">
        <f t="shared" si="0"/>
        <v>B</v>
      </c>
      <c r="J25" s="41">
        <v>81</v>
      </c>
      <c r="K25" s="31" t="str">
        <f t="shared" si="9"/>
        <v>A</v>
      </c>
      <c r="L25" s="41">
        <v>65</v>
      </c>
      <c r="M25" s="29" t="str">
        <f t="shared" si="10"/>
        <v>B</v>
      </c>
      <c r="N25" s="41">
        <v>65</v>
      </c>
      <c r="O25" s="29" t="str">
        <f t="shared" si="11"/>
        <v>B</v>
      </c>
      <c r="P25" s="43">
        <v>66</v>
      </c>
      <c r="Q25" s="32" t="str">
        <f t="shared" si="22"/>
        <v>B</v>
      </c>
      <c r="R25" s="43">
        <v>46</v>
      </c>
      <c r="S25" s="32" t="str">
        <f t="shared" si="12"/>
        <v>S</v>
      </c>
      <c r="T25" s="43">
        <v>38</v>
      </c>
      <c r="U25" s="32" t="str">
        <f t="shared" si="13"/>
        <v>W</v>
      </c>
      <c r="V25" s="44"/>
      <c r="W25" s="33"/>
      <c r="X25" s="44">
        <v>85</v>
      </c>
      <c r="Y25" s="33" t="str">
        <f t="shared" si="24"/>
        <v>A</v>
      </c>
      <c r="Z25" s="44"/>
      <c r="AA25" s="33"/>
      <c r="AB25" s="99">
        <v>74</v>
      </c>
      <c r="AC25" s="106" t="str">
        <f t="shared" si="15"/>
        <v>B</v>
      </c>
      <c r="AD25" s="99">
        <v>97</v>
      </c>
      <c r="AE25" s="322" t="str">
        <f t="shared" si="16"/>
        <v>A</v>
      </c>
      <c r="AF25" s="34">
        <f t="shared" si="2"/>
        <v>794</v>
      </c>
      <c r="AG25" s="35">
        <f t="shared" si="17"/>
        <v>66.1666666666667</v>
      </c>
      <c r="AH25" s="34">
        <f t="shared" si="18"/>
        <v>2</v>
      </c>
      <c r="AI25" s="36">
        <f t="shared" si="3"/>
        <v>3</v>
      </c>
      <c r="AJ25" s="36">
        <f t="shared" si="4"/>
        <v>6</v>
      </c>
      <c r="AK25" s="36">
        <f t="shared" si="5"/>
        <v>0</v>
      </c>
      <c r="AL25" s="36">
        <f t="shared" si="19"/>
        <v>1</v>
      </c>
      <c r="AM25" s="36">
        <f t="shared" si="6"/>
        <v>2</v>
      </c>
      <c r="AN25" s="37">
        <f t="shared" si="20"/>
        <v>0</v>
      </c>
    </row>
    <row r="26" s="2" customFormat="1" ht="15" customHeight="1" spans="1:40">
      <c r="A26" s="24">
        <v>21</v>
      </c>
      <c r="B26" s="320" t="s">
        <v>124</v>
      </c>
      <c r="C26" s="26" t="s">
        <v>104</v>
      </c>
      <c r="D26" s="41">
        <v>28</v>
      </c>
      <c r="E26" s="29" t="str">
        <f t="shared" si="7"/>
        <v>W</v>
      </c>
      <c r="F26" s="41">
        <v>4</v>
      </c>
      <c r="G26" s="27" t="str">
        <f t="shared" si="8"/>
        <v>W</v>
      </c>
      <c r="H26" s="41">
        <v>29</v>
      </c>
      <c r="I26" s="29" t="str">
        <f t="shared" si="0"/>
        <v>W</v>
      </c>
      <c r="J26" s="41">
        <v>23</v>
      </c>
      <c r="K26" s="31" t="str">
        <f t="shared" si="9"/>
        <v>W</v>
      </c>
      <c r="L26" s="41">
        <v>33</v>
      </c>
      <c r="M26" s="29" t="str">
        <f t="shared" si="10"/>
        <v>W</v>
      </c>
      <c r="N26" s="41">
        <v>24</v>
      </c>
      <c r="O26" s="29" t="str">
        <f t="shared" si="11"/>
        <v>W</v>
      </c>
      <c r="P26" s="43">
        <v>59</v>
      </c>
      <c r="Q26" s="32" t="str">
        <f t="shared" si="22"/>
        <v>C</v>
      </c>
      <c r="R26" s="43">
        <v>26</v>
      </c>
      <c r="S26" s="32" t="str">
        <f t="shared" si="12"/>
        <v>W</v>
      </c>
      <c r="T26" s="43">
        <v>43</v>
      </c>
      <c r="U26" s="32" t="str">
        <f t="shared" si="13"/>
        <v>S</v>
      </c>
      <c r="V26" s="44"/>
      <c r="W26" s="33"/>
      <c r="X26" s="44">
        <v>56</v>
      </c>
      <c r="Y26" s="33" t="str">
        <f t="shared" si="24"/>
        <v>C</v>
      </c>
      <c r="Z26" s="44"/>
      <c r="AA26" s="33"/>
      <c r="AB26" s="99">
        <v>35</v>
      </c>
      <c r="AC26" s="106" t="str">
        <f t="shared" si="15"/>
        <v>W</v>
      </c>
      <c r="AD26" s="99">
        <v>75</v>
      </c>
      <c r="AE26" s="322" t="str">
        <f t="shared" si="16"/>
        <v>A</v>
      </c>
      <c r="AF26" s="34">
        <f t="shared" si="2"/>
        <v>435</v>
      </c>
      <c r="AG26" s="35">
        <f t="shared" si="17"/>
        <v>36.25</v>
      </c>
      <c r="AH26" s="34">
        <f t="shared" si="18"/>
        <v>19</v>
      </c>
      <c r="AI26" s="36">
        <f t="shared" si="3"/>
        <v>1</v>
      </c>
      <c r="AJ26" s="36">
        <f t="shared" si="4"/>
        <v>0</v>
      </c>
      <c r="AK26" s="36">
        <f t="shared" si="5"/>
        <v>2</v>
      </c>
      <c r="AL26" s="36">
        <f t="shared" si="19"/>
        <v>1</v>
      </c>
      <c r="AM26" s="36">
        <f t="shared" si="6"/>
        <v>8</v>
      </c>
      <c r="AN26" s="37">
        <f t="shared" si="20"/>
        <v>0</v>
      </c>
    </row>
    <row r="27" s="2" customFormat="1" ht="15" customHeight="1" spans="1:40">
      <c r="A27" s="24">
        <v>22</v>
      </c>
      <c r="B27" s="320" t="s">
        <v>125</v>
      </c>
      <c r="C27" s="26" t="s">
        <v>104</v>
      </c>
      <c r="D27" s="41">
        <v>25</v>
      </c>
      <c r="E27" s="29" t="str">
        <f t="shared" si="7"/>
        <v>W</v>
      </c>
      <c r="F27" s="41">
        <v>11</v>
      </c>
      <c r="G27" s="27" t="str">
        <f t="shared" si="8"/>
        <v>W</v>
      </c>
      <c r="H27" s="41">
        <v>32</v>
      </c>
      <c r="I27" s="29" t="str">
        <f t="shared" si="0"/>
        <v>W</v>
      </c>
      <c r="J27" s="41">
        <v>59</v>
      </c>
      <c r="K27" s="31" t="str">
        <f t="shared" si="9"/>
        <v>C</v>
      </c>
      <c r="L27" s="41">
        <v>35</v>
      </c>
      <c r="M27" s="29" t="str">
        <f t="shared" si="10"/>
        <v>W</v>
      </c>
      <c r="N27" s="41">
        <v>30</v>
      </c>
      <c r="O27" s="29" t="str">
        <f t="shared" si="11"/>
        <v>W</v>
      </c>
      <c r="P27" s="43">
        <v>50</v>
      </c>
      <c r="Q27" s="32" t="str">
        <f t="shared" si="22"/>
        <v>C</v>
      </c>
      <c r="R27" s="43">
        <v>18</v>
      </c>
      <c r="S27" s="32" t="str">
        <f t="shared" si="12"/>
        <v>W</v>
      </c>
      <c r="T27" s="43">
        <v>6</v>
      </c>
      <c r="U27" s="32" t="str">
        <f t="shared" si="13"/>
        <v>W</v>
      </c>
      <c r="V27" s="44"/>
      <c r="W27" s="33"/>
      <c r="X27" s="44">
        <v>84</v>
      </c>
      <c r="Y27" s="33" t="str">
        <f t="shared" si="24"/>
        <v>A</v>
      </c>
      <c r="Z27" s="44"/>
      <c r="AA27" s="33"/>
      <c r="AB27" s="99">
        <v>46</v>
      </c>
      <c r="AC27" s="106" t="str">
        <f t="shared" si="15"/>
        <v>S</v>
      </c>
      <c r="AD27" s="99">
        <v>85</v>
      </c>
      <c r="AE27" s="322" t="str">
        <f t="shared" si="16"/>
        <v>A</v>
      </c>
      <c r="AF27" s="34">
        <f t="shared" si="2"/>
        <v>481</v>
      </c>
      <c r="AG27" s="35">
        <f t="shared" si="17"/>
        <v>40.0833333333333</v>
      </c>
      <c r="AH27" s="34">
        <f t="shared" si="18"/>
        <v>17</v>
      </c>
      <c r="AI27" s="36">
        <f t="shared" si="3"/>
        <v>2</v>
      </c>
      <c r="AJ27" s="36">
        <f t="shared" si="4"/>
        <v>0</v>
      </c>
      <c r="AK27" s="36">
        <f t="shared" si="5"/>
        <v>2</v>
      </c>
      <c r="AL27" s="36">
        <f t="shared" si="19"/>
        <v>1</v>
      </c>
      <c r="AM27" s="36">
        <f t="shared" si="6"/>
        <v>7</v>
      </c>
      <c r="AN27" s="37">
        <f t="shared" si="20"/>
        <v>0</v>
      </c>
    </row>
    <row r="28" s="2" customFormat="1" ht="15" customHeight="1" spans="1:40">
      <c r="A28" s="39">
        <v>23</v>
      </c>
      <c r="B28" s="320" t="s">
        <v>126</v>
      </c>
      <c r="C28" s="26" t="s">
        <v>104</v>
      </c>
      <c r="D28" s="41">
        <v>52</v>
      </c>
      <c r="E28" s="29" t="str">
        <f t="shared" si="7"/>
        <v>C</v>
      </c>
      <c r="F28" s="41">
        <v>26</v>
      </c>
      <c r="G28" s="27" t="str">
        <f t="shared" si="8"/>
        <v>W</v>
      </c>
      <c r="H28" s="41">
        <v>66</v>
      </c>
      <c r="I28" s="29" t="str">
        <f t="shared" si="0"/>
        <v>B</v>
      </c>
      <c r="J28" s="41">
        <v>43</v>
      </c>
      <c r="K28" s="31" t="str">
        <f t="shared" si="9"/>
        <v>S</v>
      </c>
      <c r="L28" s="41">
        <v>50</v>
      </c>
      <c r="M28" s="29" t="str">
        <f t="shared" si="10"/>
        <v>C</v>
      </c>
      <c r="N28" s="41">
        <v>55</v>
      </c>
      <c r="O28" s="29" t="str">
        <f t="shared" si="11"/>
        <v>C</v>
      </c>
      <c r="P28" s="43">
        <v>62</v>
      </c>
      <c r="Q28" s="32" t="str">
        <f t="shared" si="22"/>
        <v>C</v>
      </c>
      <c r="R28" s="43">
        <v>32</v>
      </c>
      <c r="S28" s="32" t="str">
        <f t="shared" si="12"/>
        <v>W</v>
      </c>
      <c r="T28" s="43">
        <v>31</v>
      </c>
      <c r="U28" s="32" t="str">
        <f t="shared" si="13"/>
        <v>W</v>
      </c>
      <c r="V28" s="44">
        <v>70</v>
      </c>
      <c r="W28" s="33" t="str">
        <f t="shared" si="21"/>
        <v>B</v>
      </c>
      <c r="X28" s="44"/>
      <c r="Y28" s="33"/>
      <c r="Z28" s="44"/>
      <c r="AA28" s="33"/>
      <c r="AB28" s="99">
        <v>86</v>
      </c>
      <c r="AC28" s="106" t="str">
        <f t="shared" si="15"/>
        <v>A</v>
      </c>
      <c r="AD28" s="99">
        <v>95</v>
      </c>
      <c r="AE28" s="322" t="str">
        <f t="shared" si="16"/>
        <v>A</v>
      </c>
      <c r="AF28" s="34">
        <f t="shared" si="2"/>
        <v>668</v>
      </c>
      <c r="AG28" s="35">
        <f t="shared" si="17"/>
        <v>55.6666666666667</v>
      </c>
      <c r="AH28" s="34">
        <f t="shared" si="18"/>
        <v>10</v>
      </c>
      <c r="AI28" s="36">
        <f t="shared" si="3"/>
        <v>2</v>
      </c>
      <c r="AJ28" s="36">
        <f t="shared" si="4"/>
        <v>2</v>
      </c>
      <c r="AK28" s="36">
        <f t="shared" si="5"/>
        <v>4</v>
      </c>
      <c r="AL28" s="36">
        <f t="shared" si="19"/>
        <v>1</v>
      </c>
      <c r="AM28" s="36">
        <f t="shared" si="6"/>
        <v>3</v>
      </c>
      <c r="AN28" s="37">
        <f t="shared" si="20"/>
        <v>0</v>
      </c>
    </row>
    <row r="29" s="2" customFormat="1" ht="15" customHeight="1" spans="1:40">
      <c r="A29" s="24">
        <v>24</v>
      </c>
      <c r="B29" s="320" t="s">
        <v>127</v>
      </c>
      <c r="C29" s="26" t="s">
        <v>104</v>
      </c>
      <c r="D29" s="41">
        <v>29</v>
      </c>
      <c r="E29" s="29" t="str">
        <f t="shared" si="7"/>
        <v>W</v>
      </c>
      <c r="F29" s="41">
        <v>29</v>
      </c>
      <c r="G29" s="27" t="str">
        <f t="shared" si="8"/>
        <v>W</v>
      </c>
      <c r="H29" s="41">
        <v>45</v>
      </c>
      <c r="I29" s="29" t="str">
        <f t="shared" si="0"/>
        <v>S</v>
      </c>
      <c r="J29" s="41">
        <v>45</v>
      </c>
      <c r="K29" s="31" t="str">
        <f t="shared" si="9"/>
        <v>S</v>
      </c>
      <c r="L29" s="41">
        <v>36</v>
      </c>
      <c r="M29" s="29" t="str">
        <f t="shared" si="10"/>
        <v>W</v>
      </c>
      <c r="N29" s="41">
        <v>30</v>
      </c>
      <c r="O29" s="29" t="str">
        <f t="shared" si="11"/>
        <v>W</v>
      </c>
      <c r="P29" s="43">
        <v>47</v>
      </c>
      <c r="Q29" s="32" t="str">
        <f t="shared" si="22"/>
        <v>W</v>
      </c>
      <c r="R29" s="43">
        <v>32</v>
      </c>
      <c r="S29" s="32" t="str">
        <f t="shared" si="12"/>
        <v>W</v>
      </c>
      <c r="T29" s="43">
        <v>8</v>
      </c>
      <c r="U29" s="32" t="str">
        <f t="shared" si="13"/>
        <v>W</v>
      </c>
      <c r="V29" s="44">
        <v>65</v>
      </c>
      <c r="W29" s="33" t="str">
        <f t="shared" si="21"/>
        <v>B</v>
      </c>
      <c r="X29" s="44"/>
      <c r="Y29" s="33"/>
      <c r="Z29" s="44"/>
      <c r="AA29" s="33"/>
      <c r="AB29" s="99">
        <v>56</v>
      </c>
      <c r="AC29" s="106" t="str">
        <f t="shared" si="15"/>
        <v>C</v>
      </c>
      <c r="AD29" s="99">
        <v>85</v>
      </c>
      <c r="AE29" s="322" t="str">
        <f t="shared" si="16"/>
        <v>A</v>
      </c>
      <c r="AF29" s="34">
        <f t="shared" si="2"/>
        <v>507</v>
      </c>
      <c r="AG29" s="35">
        <f t="shared" si="17"/>
        <v>42.25</v>
      </c>
      <c r="AH29" s="34">
        <f t="shared" si="18"/>
        <v>16</v>
      </c>
      <c r="AI29" s="36">
        <f t="shared" si="3"/>
        <v>1</v>
      </c>
      <c r="AJ29" s="36">
        <f t="shared" si="4"/>
        <v>1</v>
      </c>
      <c r="AK29" s="36">
        <f t="shared" si="5"/>
        <v>1</v>
      </c>
      <c r="AL29" s="36">
        <f t="shared" si="19"/>
        <v>2</v>
      </c>
      <c r="AM29" s="36">
        <f t="shared" si="6"/>
        <v>7</v>
      </c>
      <c r="AN29" s="37">
        <f t="shared" si="20"/>
        <v>0</v>
      </c>
    </row>
    <row r="30" s="2" customFormat="1" ht="15" customHeight="1" spans="1:40">
      <c r="A30" s="24">
        <v>25</v>
      </c>
      <c r="B30" s="320" t="s">
        <v>128</v>
      </c>
      <c r="C30" s="26" t="s">
        <v>104</v>
      </c>
      <c r="D30" s="41">
        <v>55</v>
      </c>
      <c r="E30" s="29" t="str">
        <f t="shared" si="7"/>
        <v>C</v>
      </c>
      <c r="F30" s="41">
        <v>36</v>
      </c>
      <c r="G30" s="27" t="str">
        <f t="shared" si="8"/>
        <v>W</v>
      </c>
      <c r="H30" s="41">
        <v>49</v>
      </c>
      <c r="I30" s="29" t="str">
        <f t="shared" si="0"/>
        <v>S</v>
      </c>
      <c r="J30" s="41">
        <v>69</v>
      </c>
      <c r="K30" s="31" t="str">
        <f t="shared" si="9"/>
        <v>B</v>
      </c>
      <c r="L30" s="41">
        <v>54</v>
      </c>
      <c r="M30" s="29" t="str">
        <f t="shared" si="10"/>
        <v>C</v>
      </c>
      <c r="N30" s="41">
        <v>53</v>
      </c>
      <c r="O30" s="29" t="str">
        <f t="shared" si="11"/>
        <v>C</v>
      </c>
      <c r="P30" s="43">
        <v>66</v>
      </c>
      <c r="Q30" s="32" t="str">
        <f t="shared" si="22"/>
        <v>B</v>
      </c>
      <c r="R30" s="43">
        <v>43</v>
      </c>
      <c r="S30" s="32" t="str">
        <f t="shared" si="12"/>
        <v>S</v>
      </c>
      <c r="T30" s="43">
        <v>44</v>
      </c>
      <c r="U30" s="32" t="str">
        <f t="shared" si="13"/>
        <v>S</v>
      </c>
      <c r="V30" s="44"/>
      <c r="W30" s="33"/>
      <c r="X30" s="44">
        <v>80</v>
      </c>
      <c r="Y30" s="33" t="str">
        <f t="shared" si="24"/>
        <v>A</v>
      </c>
      <c r="Z30" s="44"/>
      <c r="AA30" s="33"/>
      <c r="AB30" s="99">
        <v>85</v>
      </c>
      <c r="AC30" s="106" t="str">
        <f t="shared" si="15"/>
        <v>A</v>
      </c>
      <c r="AD30" s="99">
        <v>90</v>
      </c>
      <c r="AE30" s="322" t="str">
        <f t="shared" si="16"/>
        <v>A</v>
      </c>
      <c r="AF30" s="34">
        <f t="shared" si="2"/>
        <v>724</v>
      </c>
      <c r="AG30" s="35">
        <f t="shared" si="17"/>
        <v>60.3333333333333</v>
      </c>
      <c r="AH30" s="34">
        <f t="shared" si="18"/>
        <v>5</v>
      </c>
      <c r="AI30" s="36">
        <f t="shared" si="3"/>
        <v>3</v>
      </c>
      <c r="AJ30" s="36">
        <f t="shared" si="4"/>
        <v>2</v>
      </c>
      <c r="AK30" s="36">
        <f t="shared" si="5"/>
        <v>3</v>
      </c>
      <c r="AL30" s="36">
        <f t="shared" si="19"/>
        <v>3</v>
      </c>
      <c r="AM30" s="36">
        <f t="shared" si="6"/>
        <v>1</v>
      </c>
      <c r="AN30" s="37">
        <f t="shared" si="20"/>
        <v>0</v>
      </c>
    </row>
    <row r="31" s="2" customFormat="1" ht="15" customHeight="1" spans="1:40">
      <c r="A31" s="39">
        <v>26</v>
      </c>
      <c r="B31" s="320" t="s">
        <v>129</v>
      </c>
      <c r="C31" s="26" t="s">
        <v>104</v>
      </c>
      <c r="D31" s="41">
        <v>13</v>
      </c>
      <c r="E31" s="29" t="str">
        <f t="shared" si="7"/>
        <v>W</v>
      </c>
      <c r="F31" s="41">
        <v>15</v>
      </c>
      <c r="G31" s="27" t="str">
        <f t="shared" si="8"/>
        <v>W</v>
      </c>
      <c r="H31" s="41">
        <v>13</v>
      </c>
      <c r="I31" s="29" t="str">
        <f t="shared" si="0"/>
        <v>W</v>
      </c>
      <c r="J31" s="41">
        <v>33</v>
      </c>
      <c r="K31" s="31" t="str">
        <f t="shared" si="9"/>
        <v>W</v>
      </c>
      <c r="L31" s="41">
        <v>25</v>
      </c>
      <c r="M31" s="29" t="str">
        <f t="shared" si="10"/>
        <v>W</v>
      </c>
      <c r="N31" s="41">
        <v>10</v>
      </c>
      <c r="O31" s="29" t="str">
        <f t="shared" si="11"/>
        <v>W</v>
      </c>
      <c r="P31" s="43">
        <v>48</v>
      </c>
      <c r="Q31" s="32" t="str">
        <f t="shared" si="22"/>
        <v>W</v>
      </c>
      <c r="R31" s="43">
        <v>26</v>
      </c>
      <c r="S31" s="32" t="str">
        <f t="shared" si="12"/>
        <v>W</v>
      </c>
      <c r="T31" s="43">
        <v>35</v>
      </c>
      <c r="U31" s="32" t="str">
        <f t="shared" si="13"/>
        <v>W</v>
      </c>
      <c r="V31" s="44"/>
      <c r="W31" s="33"/>
      <c r="X31" s="86" t="s">
        <v>29</v>
      </c>
      <c r="Y31" s="86" t="s">
        <v>29</v>
      </c>
      <c r="Z31" s="44"/>
      <c r="AA31" s="33"/>
      <c r="AB31" s="99">
        <v>30</v>
      </c>
      <c r="AC31" s="106" t="str">
        <f t="shared" si="15"/>
        <v>W</v>
      </c>
      <c r="AD31" s="99">
        <v>50</v>
      </c>
      <c r="AE31" s="322" t="str">
        <f t="shared" si="16"/>
        <v>C</v>
      </c>
      <c r="AF31" s="34">
        <f t="shared" si="2"/>
        <v>298</v>
      </c>
      <c r="AG31" s="35">
        <f t="shared" si="17"/>
        <v>24.8333333333333</v>
      </c>
      <c r="AH31" s="34">
        <f t="shared" si="18"/>
        <v>26</v>
      </c>
      <c r="AI31" s="36">
        <f t="shared" si="3"/>
        <v>0</v>
      </c>
      <c r="AJ31" s="36">
        <f t="shared" si="4"/>
        <v>0</v>
      </c>
      <c r="AK31" s="36">
        <f t="shared" si="5"/>
        <v>1</v>
      </c>
      <c r="AL31" s="36">
        <f t="shared" si="19"/>
        <v>0</v>
      </c>
      <c r="AM31" s="36">
        <f t="shared" si="6"/>
        <v>10</v>
      </c>
      <c r="AN31" s="37">
        <f t="shared" si="20"/>
        <v>1</v>
      </c>
    </row>
    <row r="32" s="2" customFormat="1" ht="15" customHeight="1" spans="1:40">
      <c r="A32" s="24">
        <v>27</v>
      </c>
      <c r="B32" s="320" t="s">
        <v>130</v>
      </c>
      <c r="C32" s="26" t="s">
        <v>104</v>
      </c>
      <c r="D32" s="41">
        <v>19</v>
      </c>
      <c r="E32" s="29" t="str">
        <f t="shared" si="7"/>
        <v>W</v>
      </c>
      <c r="F32" s="41">
        <v>5</v>
      </c>
      <c r="G32" s="27" t="str">
        <f t="shared" si="8"/>
        <v>W</v>
      </c>
      <c r="H32" s="41">
        <v>14</v>
      </c>
      <c r="I32" s="29" t="str">
        <f t="shared" si="0"/>
        <v>W</v>
      </c>
      <c r="J32" s="41">
        <v>22</v>
      </c>
      <c r="K32" s="31" t="str">
        <f t="shared" si="9"/>
        <v>W</v>
      </c>
      <c r="L32" s="41">
        <v>29</v>
      </c>
      <c r="M32" s="29" t="str">
        <f t="shared" si="10"/>
        <v>W</v>
      </c>
      <c r="N32" s="41">
        <v>13</v>
      </c>
      <c r="O32" s="29" t="str">
        <f t="shared" si="11"/>
        <v>W</v>
      </c>
      <c r="P32" s="43">
        <v>32</v>
      </c>
      <c r="Q32" s="32" t="str">
        <f t="shared" si="22"/>
        <v>W</v>
      </c>
      <c r="R32" s="43">
        <v>18</v>
      </c>
      <c r="S32" s="32" t="str">
        <f t="shared" si="12"/>
        <v>W</v>
      </c>
      <c r="T32" s="43">
        <v>36</v>
      </c>
      <c r="U32" s="32" t="str">
        <f t="shared" si="13"/>
        <v>W</v>
      </c>
      <c r="V32" s="44"/>
      <c r="W32" s="33"/>
      <c r="X32" s="44">
        <v>52</v>
      </c>
      <c r="Y32" s="33" t="str">
        <f t="shared" si="24"/>
        <v>C</v>
      </c>
      <c r="Z32" s="44"/>
      <c r="AA32" s="33"/>
      <c r="AB32" s="99">
        <v>29</v>
      </c>
      <c r="AC32" s="106" t="str">
        <f t="shared" si="15"/>
        <v>W</v>
      </c>
      <c r="AD32" s="99">
        <v>50</v>
      </c>
      <c r="AE32" s="322" t="str">
        <f t="shared" si="16"/>
        <v>C</v>
      </c>
      <c r="AF32" s="34">
        <f t="shared" si="2"/>
        <v>319</v>
      </c>
      <c r="AG32" s="35">
        <f t="shared" si="17"/>
        <v>26.5833333333333</v>
      </c>
      <c r="AH32" s="34">
        <f t="shared" si="18"/>
        <v>25</v>
      </c>
      <c r="AI32" s="36">
        <f t="shared" si="3"/>
        <v>0</v>
      </c>
      <c r="AJ32" s="36">
        <f t="shared" si="4"/>
        <v>0</v>
      </c>
      <c r="AK32" s="36">
        <f t="shared" si="5"/>
        <v>2</v>
      </c>
      <c r="AL32" s="36">
        <f t="shared" si="19"/>
        <v>0</v>
      </c>
      <c r="AM32" s="36">
        <f t="shared" si="6"/>
        <v>10</v>
      </c>
      <c r="AN32" s="37">
        <f t="shared" si="20"/>
        <v>0</v>
      </c>
    </row>
    <row r="33" s="2" customFormat="1" ht="15" customHeight="1" spans="1:40">
      <c r="A33" s="24">
        <v>28</v>
      </c>
      <c r="B33" s="320" t="s">
        <v>131</v>
      </c>
      <c r="C33" s="26" t="s">
        <v>104</v>
      </c>
      <c r="D33" s="41">
        <v>29</v>
      </c>
      <c r="E33" s="29" t="str">
        <f t="shared" si="7"/>
        <v>W</v>
      </c>
      <c r="F33" s="41">
        <v>11</v>
      </c>
      <c r="G33" s="27" t="str">
        <f t="shared" si="8"/>
        <v>W</v>
      </c>
      <c r="H33" s="41">
        <v>41</v>
      </c>
      <c r="I33" s="29" t="str">
        <f t="shared" si="0"/>
        <v>S</v>
      </c>
      <c r="J33" s="41">
        <v>38</v>
      </c>
      <c r="K33" s="31" t="str">
        <f t="shared" si="9"/>
        <v>W</v>
      </c>
      <c r="L33" s="41">
        <v>30</v>
      </c>
      <c r="M33" s="29" t="str">
        <f t="shared" si="10"/>
        <v>W</v>
      </c>
      <c r="N33" s="41">
        <v>31</v>
      </c>
      <c r="O33" s="29" t="str">
        <f t="shared" si="11"/>
        <v>W</v>
      </c>
      <c r="P33" s="43">
        <v>47</v>
      </c>
      <c r="Q33" s="32" t="str">
        <f t="shared" si="22"/>
        <v>W</v>
      </c>
      <c r="R33" s="43">
        <v>32</v>
      </c>
      <c r="S33" s="32" t="str">
        <f t="shared" si="12"/>
        <v>W</v>
      </c>
      <c r="T33" s="43">
        <v>40</v>
      </c>
      <c r="U33" s="32" t="str">
        <f t="shared" si="13"/>
        <v>S</v>
      </c>
      <c r="V33" s="44"/>
      <c r="W33" s="33"/>
      <c r="X33" s="44">
        <v>66</v>
      </c>
      <c r="Y33" s="33" t="str">
        <f t="shared" si="24"/>
        <v>B</v>
      </c>
      <c r="Z33" s="44"/>
      <c r="AA33" s="33"/>
      <c r="AB33" s="99">
        <v>60</v>
      </c>
      <c r="AC33" s="106" t="str">
        <f t="shared" si="15"/>
        <v>C</v>
      </c>
      <c r="AD33" s="99">
        <v>92</v>
      </c>
      <c r="AE33" s="322" t="str">
        <f t="shared" si="16"/>
        <v>A</v>
      </c>
      <c r="AF33" s="34">
        <f t="shared" si="2"/>
        <v>517</v>
      </c>
      <c r="AG33" s="35">
        <f t="shared" si="17"/>
        <v>43.0833333333333</v>
      </c>
      <c r="AH33" s="34">
        <f t="shared" si="18"/>
        <v>14</v>
      </c>
      <c r="AI33" s="36">
        <f t="shared" si="3"/>
        <v>1</v>
      </c>
      <c r="AJ33" s="36">
        <f t="shared" si="4"/>
        <v>1</v>
      </c>
      <c r="AK33" s="36">
        <f t="shared" si="5"/>
        <v>1</v>
      </c>
      <c r="AL33" s="36">
        <f t="shared" si="19"/>
        <v>2</v>
      </c>
      <c r="AM33" s="36">
        <f t="shared" si="6"/>
        <v>7</v>
      </c>
      <c r="AN33" s="37">
        <f t="shared" si="20"/>
        <v>0</v>
      </c>
    </row>
    <row r="34" s="2" customFormat="1" ht="15" customHeight="1" spans="1:40">
      <c r="A34" s="400">
        <v>29</v>
      </c>
      <c r="B34" s="320" t="s">
        <v>132</v>
      </c>
      <c r="C34" s="26" t="s">
        <v>104</v>
      </c>
      <c r="D34" s="41">
        <v>40</v>
      </c>
      <c r="E34" s="29" t="str">
        <f t="shared" si="7"/>
        <v>S</v>
      </c>
      <c r="F34" s="41">
        <v>45</v>
      </c>
      <c r="G34" s="27" t="str">
        <f t="shared" si="8"/>
        <v>S</v>
      </c>
      <c r="H34" s="41">
        <v>69</v>
      </c>
      <c r="I34" s="29" t="str">
        <f t="shared" si="0"/>
        <v>B</v>
      </c>
      <c r="J34" s="41">
        <v>78</v>
      </c>
      <c r="K34" s="31" t="str">
        <f t="shared" ref="K34" si="25">IF(J34&gt;=75,"A",IF(J34&gt;=65,"B",IF(J34&gt;=50,"C",IF(J34&gt;=36,"S","W"))))</f>
        <v>A</v>
      </c>
      <c r="L34" s="41">
        <v>87</v>
      </c>
      <c r="M34" s="29" t="str">
        <f t="shared" si="10"/>
        <v>A</v>
      </c>
      <c r="N34" s="41">
        <v>65</v>
      </c>
      <c r="O34" s="29" t="str">
        <f t="shared" si="11"/>
        <v>B</v>
      </c>
      <c r="P34" s="43">
        <v>64</v>
      </c>
      <c r="Q34" s="32" t="str">
        <f t="shared" si="22"/>
        <v>C</v>
      </c>
      <c r="R34" s="43">
        <v>43</v>
      </c>
      <c r="S34" s="32" t="str">
        <f t="shared" si="12"/>
        <v>S</v>
      </c>
      <c r="T34" s="43">
        <v>32</v>
      </c>
      <c r="U34" s="32" t="str">
        <f t="shared" si="13"/>
        <v>W</v>
      </c>
      <c r="V34" s="44"/>
      <c r="W34" s="33"/>
      <c r="X34" s="44">
        <v>69</v>
      </c>
      <c r="Y34" s="33" t="str">
        <f t="shared" si="24"/>
        <v>B</v>
      </c>
      <c r="Z34" s="44"/>
      <c r="AA34" s="33"/>
      <c r="AB34" s="99">
        <v>65</v>
      </c>
      <c r="AC34" s="106" t="str">
        <f t="shared" si="15"/>
        <v>B</v>
      </c>
      <c r="AD34" s="99">
        <v>55</v>
      </c>
      <c r="AE34" s="322" t="str">
        <f t="shared" si="16"/>
        <v>C</v>
      </c>
      <c r="AF34" s="34">
        <f t="shared" si="2"/>
        <v>712</v>
      </c>
      <c r="AG34" s="35">
        <f t="shared" si="17"/>
        <v>59.3333333333333</v>
      </c>
      <c r="AH34" s="34">
        <f t="shared" si="18"/>
        <v>6</v>
      </c>
      <c r="AI34" s="36">
        <f t="shared" si="3"/>
        <v>2</v>
      </c>
      <c r="AJ34" s="36">
        <f t="shared" si="4"/>
        <v>4</v>
      </c>
      <c r="AK34" s="36">
        <f t="shared" si="5"/>
        <v>2</v>
      </c>
      <c r="AL34" s="36">
        <f t="shared" si="19"/>
        <v>3</v>
      </c>
      <c r="AM34" s="36">
        <f t="shared" si="6"/>
        <v>1</v>
      </c>
      <c r="AN34" s="37">
        <f t="shared" si="20"/>
        <v>0</v>
      </c>
    </row>
    <row r="35" s="2" customFormat="1" ht="15" customHeight="1" spans="1:40">
      <c r="A35" s="53"/>
      <c r="B35" s="53" t="s">
        <v>133</v>
      </c>
      <c r="C35" s="61" t="s">
        <v>24</v>
      </c>
      <c r="D35" s="56"/>
      <c r="E35" s="63">
        <f>COUNTIF(E6:E34,"A")</f>
        <v>0</v>
      </c>
      <c r="F35" s="56"/>
      <c r="G35" s="63">
        <f>COUNTIF(G6:G34,"A")</f>
        <v>0</v>
      </c>
      <c r="H35" s="56"/>
      <c r="I35" s="63">
        <f>COUNTIF(I6:I34,"A")</f>
        <v>2</v>
      </c>
      <c r="J35" s="56"/>
      <c r="K35" s="63">
        <f>COUNTIF(K6:K34,"A")</f>
        <v>5</v>
      </c>
      <c r="L35" s="63"/>
      <c r="M35" s="63">
        <f>COUNTIF(M6:M34,"A")</f>
        <v>1</v>
      </c>
      <c r="N35" s="63"/>
      <c r="O35" s="63">
        <f>COUNTIF(O6:O34,"A")</f>
        <v>0</v>
      </c>
      <c r="P35" s="63"/>
      <c r="Q35" s="63">
        <f>COUNTIF(Q6:Q34,"A")</f>
        <v>2</v>
      </c>
      <c r="R35" s="56"/>
      <c r="S35" s="63">
        <f>COUNTIF(S6:S34,"A")</f>
        <v>0</v>
      </c>
      <c r="T35" s="56"/>
      <c r="U35" s="63">
        <f>COUNTIF(U6:U34,"A")</f>
        <v>0</v>
      </c>
      <c r="V35" s="56"/>
      <c r="W35" s="63">
        <f>COUNTIF(W6:W34,"A")</f>
        <v>1</v>
      </c>
      <c r="X35" s="56"/>
      <c r="Y35" s="63">
        <f>COUNTIF(Y6:Y34,"A")</f>
        <v>6</v>
      </c>
      <c r="Z35" s="56"/>
      <c r="AA35" s="63">
        <f>COUNTIF(AA6:AA34,"A")</f>
        <v>0</v>
      </c>
      <c r="AB35" s="56"/>
      <c r="AC35" s="63">
        <f>COUNTIF(AC6:AC34,"A")</f>
        <v>2</v>
      </c>
      <c r="AD35" s="56"/>
      <c r="AE35" s="63">
        <f>COUNTIF(AE6:AE34,"A")</f>
        <v>16</v>
      </c>
      <c r="AF35" s="58"/>
      <c r="AG35" s="58"/>
      <c r="AH35" s="58"/>
      <c r="AI35"/>
      <c r="AJ35"/>
      <c r="AK35"/>
      <c r="AL35"/>
      <c r="AM35" s="59"/>
      <c r="AN35" s="60"/>
    </row>
    <row r="36" s="2" customFormat="1" ht="15" customHeight="1" spans="1:40">
      <c r="A36" s="53"/>
      <c r="B36" s="53" t="s">
        <v>134</v>
      </c>
      <c r="C36" s="55" t="s">
        <v>25</v>
      </c>
      <c r="D36" s="56"/>
      <c r="E36" s="63">
        <f>COUNTIF(E6:E34,"B")</f>
        <v>2</v>
      </c>
      <c r="F36" s="56"/>
      <c r="G36" s="63">
        <f>COUNTIF(G6:G34,"B")</f>
        <v>0</v>
      </c>
      <c r="H36" s="56"/>
      <c r="I36" s="63">
        <f>COUNTIF(I6:I34,"B")</f>
        <v>4</v>
      </c>
      <c r="J36" s="56"/>
      <c r="K36" s="63">
        <f>COUNTIF(K6:K34,"B")</f>
        <v>3</v>
      </c>
      <c r="L36" s="56"/>
      <c r="M36" s="63">
        <f>COUNTIF(M6:M34,"B")</f>
        <v>3</v>
      </c>
      <c r="N36" s="56"/>
      <c r="O36" s="63">
        <f>COUNTIF(O6:O34,"B")</f>
        <v>3</v>
      </c>
      <c r="P36" s="56"/>
      <c r="Q36" s="63">
        <f>COUNTIF(Q6:Q34,"B")</f>
        <v>6</v>
      </c>
      <c r="R36" s="56"/>
      <c r="S36" s="63">
        <f>COUNTIF(S6:S34,"B")</f>
        <v>0</v>
      </c>
      <c r="T36" s="56"/>
      <c r="U36" s="63">
        <f>COUNTIF(U6:U34,"B")</f>
        <v>0</v>
      </c>
      <c r="V36" s="56"/>
      <c r="W36" s="63">
        <f>COUNTIF(W6:W34,"B")</f>
        <v>4</v>
      </c>
      <c r="X36" s="56"/>
      <c r="Y36" s="63">
        <f>COUNTIF(Y6:Y34,"B")</f>
        <v>4</v>
      </c>
      <c r="Z36" s="56"/>
      <c r="AA36" s="63">
        <f>COUNTIF(AA6:AA34,"B")</f>
        <v>0</v>
      </c>
      <c r="AB36" s="56"/>
      <c r="AC36" s="63">
        <f>COUNTIF(AC6:AC34,"B")</f>
        <v>6</v>
      </c>
      <c r="AD36" s="56"/>
      <c r="AE36" s="63">
        <f>COUNTIF(AE6:AE34,"B")</f>
        <v>4</v>
      </c>
      <c r="AF36" s="64"/>
      <c r="AG36" s="64"/>
      <c r="AH36" s="64"/>
      <c r="AI36"/>
      <c r="AJ36"/>
      <c r="AK36"/>
      <c r="AL36"/>
      <c r="AM36" s="59"/>
      <c r="AN36" s="60"/>
    </row>
    <row r="37" ht="15" customHeight="1" spans="1:40">
      <c r="A37" s="53"/>
      <c r="B37" s="53" t="s">
        <v>135</v>
      </c>
      <c r="C37" s="55" t="s">
        <v>26</v>
      </c>
      <c r="D37" s="56"/>
      <c r="E37" s="63">
        <f>COUNTIF(E6:E34,"C")</f>
        <v>3</v>
      </c>
      <c r="F37" s="56"/>
      <c r="G37" s="63">
        <f>COUNTIF(G6:G34,"C")</f>
        <v>1</v>
      </c>
      <c r="H37" s="56"/>
      <c r="I37" s="63">
        <f>COUNTIF(I6:I34,"C")</f>
        <v>4</v>
      </c>
      <c r="J37" s="56"/>
      <c r="K37" s="63">
        <f>COUNTIF(K6:K34,"C")</f>
        <v>4</v>
      </c>
      <c r="L37" s="56"/>
      <c r="M37" s="63">
        <f>COUNTIF(M6:M34,"C")</f>
        <v>10</v>
      </c>
      <c r="N37" s="56"/>
      <c r="O37" s="63">
        <f>COUNTIF(O6:O34,"C")</f>
        <v>7</v>
      </c>
      <c r="P37" s="56"/>
      <c r="Q37" s="63">
        <f>COUNTIF(Q6:Q34,"C")</f>
        <v>7</v>
      </c>
      <c r="R37" s="56"/>
      <c r="S37" s="63">
        <f>COUNTIF(S6:S34,"C")</f>
        <v>3</v>
      </c>
      <c r="T37" s="56"/>
      <c r="U37" s="63">
        <f>COUNTIF(U6:U34,"C")</f>
        <v>2</v>
      </c>
      <c r="V37" s="56"/>
      <c r="W37" s="63">
        <f>COUNTIF(W6:W34,"C")</f>
        <v>2</v>
      </c>
      <c r="X37" s="56"/>
      <c r="Y37" s="63">
        <f>COUNTIF(Y6:Y34,"C")</f>
        <v>5</v>
      </c>
      <c r="Z37" s="56"/>
      <c r="AA37" s="63">
        <f>COUNTIF(AA6:AA34,"C")</f>
        <v>0</v>
      </c>
      <c r="AB37" s="56"/>
      <c r="AC37" s="63">
        <f>COUNTIF(AC6:AC34,"C")</f>
        <v>7</v>
      </c>
      <c r="AD37" s="56"/>
      <c r="AE37" s="63">
        <f>COUNTIF(AE6:AE34,"C")</f>
        <v>6</v>
      </c>
      <c r="AF37" s="64"/>
      <c r="AG37" s="64"/>
      <c r="AH37" s="64"/>
    </row>
    <row r="38" ht="15" customHeight="1" spans="1:40">
      <c r="A38" s="53"/>
      <c r="B38" s="53" t="s">
        <v>136</v>
      </c>
      <c r="C38" s="55" t="s">
        <v>27</v>
      </c>
      <c r="D38" s="56"/>
      <c r="E38" s="63">
        <f>COUNTIF(E6:E34,"S")</f>
        <v>4</v>
      </c>
      <c r="F38" s="56"/>
      <c r="G38" s="63">
        <f>COUNTIF(G6:G34,"S")</f>
        <v>4</v>
      </c>
      <c r="H38" s="56"/>
      <c r="I38" s="63">
        <f>COUNTIF(I6:I34,"S")</f>
        <v>4</v>
      </c>
      <c r="J38" s="56"/>
      <c r="K38" s="63">
        <f>COUNTIF(K6:K34,"S")</f>
        <v>7</v>
      </c>
      <c r="L38" s="56"/>
      <c r="M38" s="63">
        <f>COUNTIF(M6:M34,"S")</f>
        <v>1</v>
      </c>
      <c r="N38" s="56"/>
      <c r="O38" s="63">
        <f>COUNTIF(O6:O34,"S")</f>
        <v>3</v>
      </c>
      <c r="P38" s="56"/>
      <c r="Q38" s="63">
        <f>COUNTIF(Q6:Q34,"S")</f>
        <v>1</v>
      </c>
      <c r="R38" s="56"/>
      <c r="S38" s="63">
        <f>COUNTIF(S6:S34,"S")</f>
        <v>4</v>
      </c>
      <c r="T38" s="56"/>
      <c r="U38" s="63">
        <f>COUNTIF(U6:U34,"S")</f>
        <v>7</v>
      </c>
      <c r="V38" s="56"/>
      <c r="W38" s="63">
        <f>COUNTIF(W6:W34,"S")</f>
        <v>2</v>
      </c>
      <c r="X38" s="56"/>
      <c r="Y38" s="63">
        <f>COUNTIF(Y6:Y34,"S")</f>
        <v>1</v>
      </c>
      <c r="Z38" s="56"/>
      <c r="AA38" s="63">
        <f>COUNTIF(AA6:AA34,"S")</f>
        <v>0</v>
      </c>
      <c r="AB38" s="56"/>
      <c r="AC38" s="63">
        <f>COUNTIF(AC6:AC34,"S")</f>
        <v>3</v>
      </c>
      <c r="AD38" s="56"/>
      <c r="AE38" s="63">
        <f>COUNTIF(AE6:AE34,"S")</f>
        <v>2</v>
      </c>
      <c r="AF38" s="64"/>
      <c r="AG38" s="64"/>
      <c r="AH38" s="64"/>
    </row>
    <row r="39" ht="15" customHeight="1" spans="1:40">
      <c r="A39" s="53"/>
      <c r="B39" s="53" t="s">
        <v>137</v>
      </c>
      <c r="C39" s="55" t="s">
        <v>28</v>
      </c>
      <c r="D39" s="56"/>
      <c r="E39" s="63">
        <f>COUNTIF(E6:E34,"W")</f>
        <v>19</v>
      </c>
      <c r="F39" s="56"/>
      <c r="G39" s="63">
        <f>COUNTIF(G6:G34,"W")</f>
        <v>24</v>
      </c>
      <c r="H39" s="56"/>
      <c r="I39" s="63">
        <f>COUNTIF(I6:I34,"W")</f>
        <v>15</v>
      </c>
      <c r="J39" s="56"/>
      <c r="K39" s="63">
        <f>COUNTIF(K6:K34,"W")</f>
        <v>9</v>
      </c>
      <c r="L39" s="56"/>
      <c r="M39" s="63">
        <f>COUNTIF(M6:M34,"W")</f>
        <v>14</v>
      </c>
      <c r="N39" s="56"/>
      <c r="O39" s="63">
        <f>COUNTIF(O6:O34,"W")</f>
        <v>16</v>
      </c>
      <c r="P39" s="56"/>
      <c r="Q39" s="63">
        <f>COUNTIF(Q6:Q34,"W")</f>
        <v>12</v>
      </c>
      <c r="R39" s="56"/>
      <c r="S39" s="63">
        <f>COUNTIF(S6:S34,"W")</f>
        <v>22</v>
      </c>
      <c r="T39" s="56"/>
      <c r="U39" s="63">
        <f>COUNTIF(U6:U34,"W")</f>
        <v>20</v>
      </c>
      <c r="V39" s="56"/>
      <c r="W39" s="63">
        <f>COUNTIF(W6:W34,"W")</f>
        <v>1</v>
      </c>
      <c r="X39" s="56"/>
      <c r="Y39" s="63">
        <f>COUNTIF(Y6:Y34,"W")</f>
        <v>0</v>
      </c>
      <c r="Z39" s="56"/>
      <c r="AA39" s="63">
        <f>COUNTIF(AA6:AA34,"W")</f>
        <v>2</v>
      </c>
      <c r="AB39" s="56"/>
      <c r="AC39" s="63">
        <f>COUNTIF(AC6:AC34,"W")</f>
        <v>11</v>
      </c>
      <c r="AD39" s="56"/>
      <c r="AE39" s="63">
        <f>COUNTIF(AE6:AE34,"W")</f>
        <v>1</v>
      </c>
      <c r="AF39" s="64"/>
      <c r="AG39" s="64"/>
      <c r="AH39" s="64"/>
    </row>
    <row r="40" ht="15" customHeight="1" spans="1:40">
      <c r="A40" s="53"/>
      <c r="B40" s="53" t="s">
        <v>138</v>
      </c>
      <c r="C40" s="55" t="s">
        <v>29</v>
      </c>
      <c r="D40" s="56"/>
      <c r="E40" s="63">
        <f>COUNTIF(E6:E34,"AB")</f>
        <v>1</v>
      </c>
      <c r="F40" s="56"/>
      <c r="G40" s="63">
        <f>COUNTIF(G6:G34,"AB")</f>
        <v>0</v>
      </c>
      <c r="H40" s="56"/>
      <c r="I40" s="63">
        <f>COUNTIF(I6:I34,"AB")</f>
        <v>0</v>
      </c>
      <c r="J40" s="56"/>
      <c r="K40" s="63">
        <f>COUNTIF(K6:K34,"AB")</f>
        <v>1</v>
      </c>
      <c r="L40" s="56"/>
      <c r="M40" s="63">
        <f>COUNTIF(M6:M34,"AB")</f>
        <v>0</v>
      </c>
      <c r="N40" s="56"/>
      <c r="O40" s="63">
        <f>COUNTIF(O6:O34,"AB")</f>
        <v>0</v>
      </c>
      <c r="P40" s="56"/>
      <c r="Q40" s="63">
        <f>COUNTIF(Q6:Q34,"AB")</f>
        <v>1</v>
      </c>
      <c r="R40" s="56"/>
      <c r="S40" s="63">
        <f>COUNTIF(S6:S34,"AB")</f>
        <v>0</v>
      </c>
      <c r="T40" s="56"/>
      <c r="U40" s="63">
        <f>COUNTIF(U6:U34,"AB")</f>
        <v>0</v>
      </c>
      <c r="V40" s="56"/>
      <c r="W40" s="63">
        <f>COUNTIF(W6:W34,"AB")</f>
        <v>0</v>
      </c>
      <c r="X40" s="56"/>
      <c r="Y40" s="63">
        <f>COUNTIF(Y6:Y34,"AB")</f>
        <v>1</v>
      </c>
      <c r="Z40" s="56"/>
      <c r="AA40" s="63">
        <f>COUNTIF(AA6:AA34,"AB")</f>
        <v>0</v>
      </c>
      <c r="AB40" s="56"/>
      <c r="AC40" s="63">
        <f>COUNTIF(AC6:AC34,"AB")</f>
        <v>0</v>
      </c>
      <c r="AD40" s="56"/>
      <c r="AE40" s="63">
        <f>COUNTIF(AE6:AE34,"AB")</f>
        <v>0</v>
      </c>
      <c r="AF40" s="64"/>
      <c r="AG40" s="64"/>
      <c r="AH40" s="64"/>
    </row>
    <row r="41" ht="15" customHeight="1" spans="1:40">
      <c r="A41" s="53"/>
      <c r="B41" s="54" t="s">
        <v>139</v>
      </c>
      <c r="C41" s="55"/>
      <c r="D41" s="56"/>
      <c r="E41" s="54">
        <f>SUM(E35:E40)</f>
        <v>29</v>
      </c>
      <c r="F41" s="56"/>
      <c r="G41" s="156">
        <f>SUM(G35:G40)</f>
        <v>29</v>
      </c>
      <c r="H41" s="56"/>
      <c r="I41" s="156">
        <f>SUM(I35:I40)</f>
        <v>29</v>
      </c>
      <c r="J41" s="56"/>
      <c r="K41" s="156">
        <f>SUM(K35:K40)</f>
        <v>29</v>
      </c>
      <c r="L41" s="56"/>
      <c r="M41" s="156">
        <f>SUM(M35:M40)</f>
        <v>29</v>
      </c>
      <c r="N41" s="56"/>
      <c r="O41" s="156">
        <f>SUM(O35:O40)</f>
        <v>29</v>
      </c>
      <c r="P41" s="56"/>
      <c r="Q41" s="156">
        <f>SUM(Q35:Q40)</f>
        <v>29</v>
      </c>
      <c r="R41" s="56"/>
      <c r="S41" s="156">
        <f>SUM(S35:S40)</f>
        <v>29</v>
      </c>
      <c r="T41" s="56"/>
      <c r="U41" s="156">
        <f>SUM(U35:U40)</f>
        <v>29</v>
      </c>
      <c r="V41" s="56"/>
      <c r="W41" s="156">
        <f>SUM(W35:W40)</f>
        <v>10</v>
      </c>
      <c r="X41" s="56"/>
      <c r="Y41" s="156">
        <f>SUM(Y35:Y40)</f>
        <v>17</v>
      </c>
      <c r="Z41" s="56"/>
      <c r="AA41" s="156">
        <f>SUM(AA35:AA40)</f>
        <v>2</v>
      </c>
      <c r="AB41" s="56"/>
      <c r="AC41" s="156">
        <f>SUM(AC35:AC40)</f>
        <v>29</v>
      </c>
      <c r="AD41" s="56"/>
      <c r="AE41" s="156">
        <f>SUM(AE35:AE40)</f>
        <v>29</v>
      </c>
      <c r="AF41" s="64"/>
      <c r="AG41" s="64"/>
      <c r="AH41" s="64"/>
    </row>
    <row r="42" ht="16.9" customHeight="1" spans="1:40">
      <c r="A42" s="70"/>
      <c r="B42" s="287"/>
      <c r="C42" s="287"/>
      <c r="AF42" s="70"/>
      <c r="AG42" s="70"/>
      <c r="AH42" s="70"/>
    </row>
    <row r="43" ht="16.9" customHeight="1" spans="1:40">
      <c r="A43" s="123"/>
      <c r="B43" s="310"/>
      <c r="C43" s="310"/>
    </row>
    <row r="44" ht="16.9" customHeight="1" spans="1:40">
      <c r="A44" s="123"/>
    </row>
    <row r="45" ht="16.9" customHeight="1"/>
    <row r="46" ht="16.9" customHeight="1"/>
    <row r="47" ht="16.9" customHeight="1"/>
    <row r="48" ht="16.9" customHeight="1"/>
    <row r="49" ht="16.9" customHeight="1"/>
    <row r="50" ht="16.9" customHeight="1"/>
  </sheetData>
  <mergeCells count="9">
    <mergeCell ref="A1:AE1"/>
    <mergeCell ref="A2:AN2"/>
    <mergeCell ref="A3:AN3"/>
    <mergeCell ref="D4:AE4"/>
    <mergeCell ref="AF4:AH4"/>
    <mergeCell ref="AI4:AN4"/>
    <mergeCell ref="A4:A5"/>
    <mergeCell ref="B4:B5"/>
    <mergeCell ref="C4:C5"/>
  </mergeCells>
  <pageMargins left="0.7" right="0.7" top="0.75" bottom="0.75" header="0.3" footer="0.3"/>
  <pageSetup paperSize="8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4"/>
  <sheetViews>
    <sheetView zoomScale="66" zoomScaleNormal="66" topLeftCell="A6" workbookViewId="0">
      <selection activeCell="AS4" sqref="AS4"/>
    </sheetView>
  </sheetViews>
  <sheetFormatPr defaultColWidth="9" defaultRowHeight="14.4"/>
  <cols>
    <col min="1" max="1" width="5.85185185185185" customWidth="1"/>
    <col min="2" max="2" width="41.8518518518519" customWidth="1"/>
    <col min="3" max="3" width="6.42592592592593" customWidth="1"/>
    <col min="4" max="4" width="4.13888888888889" customWidth="1"/>
    <col min="5" max="5" width="3.42592592592593" customWidth="1"/>
    <col min="6" max="14" width="4.13888888888889" customWidth="1"/>
    <col min="15" max="15" width="4.28703703703704" customWidth="1"/>
    <col min="16" max="16" width="6.71296296296296" customWidth="1"/>
    <col min="17" max="21" width="4.13888888888889" customWidth="1"/>
    <col min="22" max="22" width="3.71296296296296" customWidth="1"/>
    <col min="23" max="23" width="3.42592592592593" customWidth="1"/>
    <col min="24" max="24" width="3.71296296296296" customWidth="1"/>
    <col min="25" max="25" width="3.42592592592593" customWidth="1"/>
    <col min="26" max="26" width="3.71296296296296" customWidth="1"/>
    <col min="27" max="27" width="3.28703703703704" customWidth="1"/>
    <col min="28" max="28" width="6.71296296296296" customWidth="1"/>
    <col min="29" max="29" width="3.42592592592593" customWidth="1"/>
    <col min="30" max="30" width="4.13888888888889" customWidth="1"/>
    <col min="31" max="31" width="3.42592592592593" customWidth="1"/>
    <col min="32" max="32" width="4.71296296296296" customWidth="1"/>
    <col min="33" max="33" width="6.28703703703704" customWidth="1"/>
    <col min="34" max="34" width="3.71296296296296" customWidth="1"/>
    <col min="35" max="37" width="2.71296296296296" customWidth="1"/>
    <col min="38" max="38" width="2.42592592592593" customWidth="1"/>
    <col min="39" max="39" width="3.28703703703704" customWidth="1"/>
    <col min="40" max="40" width="4.13888888888889" customWidth="1"/>
  </cols>
  <sheetData>
    <row r="1" ht="25.8" spans="1:40">
      <c r="A1" s="3" t="s">
        <v>140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N1" s="2"/>
    </row>
    <row r="2" ht="9" customHeight="1" spans="1:40">
      <c r="K2" s="1"/>
      <c r="AN2" s="2"/>
    </row>
    <row r="3" ht="21" spans="1:40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2"/>
    </row>
    <row r="4" ht="21" spans="1:40">
      <c r="A4" s="5" t="s">
        <v>141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2"/>
    </row>
    <row r="5" ht="8.45" customHeight="1" spans="1:40">
      <c r="K5" s="1"/>
      <c r="AN5" s="2"/>
    </row>
    <row r="6" ht="15.6" spans="1:40">
      <c r="A6" s="6" t="s">
        <v>3</v>
      </c>
      <c r="B6" s="7" t="s">
        <v>4</v>
      </c>
      <c r="C6" s="8" t="s">
        <v>5</v>
      </c>
      <c r="D6" s="9" t="s">
        <v>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290"/>
      <c r="AG6" s="291"/>
      <c r="AH6" s="292"/>
      <c r="AI6" s="11" t="s">
        <v>7</v>
      </c>
      <c r="AJ6" s="12"/>
      <c r="AK6" s="12"/>
      <c r="AL6" s="12"/>
      <c r="AM6" s="12"/>
      <c r="AN6" s="12"/>
    </row>
    <row r="7" ht="69.6" customHeight="1" spans="1:40">
      <c r="A7" s="6"/>
      <c r="B7" s="6"/>
      <c r="C7" s="13"/>
      <c r="D7" s="14" t="s">
        <v>8</v>
      </c>
      <c r="E7" s="14"/>
      <c r="F7" s="14" t="s">
        <v>9</v>
      </c>
      <c r="G7" s="14"/>
      <c r="H7" s="14" t="s">
        <v>10</v>
      </c>
      <c r="I7" s="14"/>
      <c r="J7" s="14" t="s">
        <v>11</v>
      </c>
      <c r="K7" s="14"/>
      <c r="L7" s="14" t="s">
        <v>12</v>
      </c>
      <c r="M7" s="14"/>
      <c r="N7" s="14" t="s">
        <v>13</v>
      </c>
      <c r="O7" s="14"/>
      <c r="P7" s="16" t="s">
        <v>14</v>
      </c>
      <c r="Q7" s="16"/>
      <c r="R7" s="16" t="s">
        <v>15</v>
      </c>
      <c r="S7" s="16"/>
      <c r="T7" s="16" t="s">
        <v>16</v>
      </c>
      <c r="U7" s="16"/>
      <c r="V7" s="17" t="s">
        <v>17</v>
      </c>
      <c r="W7" s="17"/>
      <c r="X7" s="17" t="s">
        <v>18</v>
      </c>
      <c r="Y7" s="17"/>
      <c r="Z7" s="17" t="s">
        <v>19</v>
      </c>
      <c r="AA7" s="92"/>
      <c r="AB7" s="93" t="s">
        <v>20</v>
      </c>
      <c r="AC7" s="93"/>
      <c r="AD7" s="93" t="s">
        <v>21</v>
      </c>
      <c r="AE7" s="93"/>
      <c r="AF7" s="18" t="s">
        <v>7</v>
      </c>
      <c r="AG7" s="18" t="s">
        <v>22</v>
      </c>
      <c r="AH7" s="18" t="s">
        <v>23</v>
      </c>
      <c r="AI7" s="19" t="s">
        <v>24</v>
      </c>
      <c r="AJ7" s="20" t="s">
        <v>25</v>
      </c>
      <c r="AK7" s="21" t="s">
        <v>26</v>
      </c>
      <c r="AL7" s="20" t="s">
        <v>27</v>
      </c>
      <c r="AM7" s="20" t="s">
        <v>28</v>
      </c>
      <c r="AN7" s="22" t="s">
        <v>29</v>
      </c>
    </row>
    <row r="8" ht="16.15" customHeight="1" spans="1:40">
      <c r="A8" s="39">
        <v>1</v>
      </c>
      <c r="B8" s="276" t="s">
        <v>142</v>
      </c>
      <c r="C8" s="236" t="s">
        <v>143</v>
      </c>
      <c r="D8" s="41">
        <v>65</v>
      </c>
      <c r="E8" s="29" t="str">
        <f>IF(D8&gt;=75,"A",IF(D8&gt;=65,"B",IF(D8&gt;=50,"C",IF(D8&gt;=40,"S","W"))))</f>
        <v>B</v>
      </c>
      <c r="F8" s="49">
        <v>14</v>
      </c>
      <c r="G8" s="49" t="str">
        <f>IF(F8&gt;=75,"A",IF(F8&gt;=65,"B",IF(F8&gt;=50,"C",IF(F8&gt;=40,"S","W"))))</f>
        <v>W</v>
      </c>
      <c r="H8" s="41">
        <v>45</v>
      </c>
      <c r="I8" s="41" t="str">
        <f>IF(H8&gt;=75,"A",IF(H8&gt;=65,"B",IF(H8&gt;=50,"C",IF(H8&gt;=40,"S","W"))))</f>
        <v>S</v>
      </c>
      <c r="J8" s="49">
        <v>58</v>
      </c>
      <c r="K8" s="41" t="str">
        <f>IF(J8&gt;=75,"A",IF(J8&gt;=65,"B",IF(J8&gt;=50,"C",IF(J8&gt;=40,"S","W"))))</f>
        <v>C</v>
      </c>
      <c r="L8" s="41">
        <v>67</v>
      </c>
      <c r="M8" s="41" t="str">
        <f>IF(L8&gt;=75,"A",IF(L8&gt;=65,"B",IF(L8&gt;=50,"C",IF(L8&gt;=40,"S","W"))))</f>
        <v>B</v>
      </c>
      <c r="N8" s="41">
        <v>61</v>
      </c>
      <c r="O8" s="293" t="str">
        <f>IF(N8&gt;=75,"A",IF(N8&gt;=65,"B",IF(N8&gt;=50,"C",IF(N8&gt;=40,"S","W"))))</f>
        <v>C</v>
      </c>
      <c r="P8" s="43">
        <v>73</v>
      </c>
      <c r="Q8" s="43" t="str">
        <f>IF(P8&gt;=75,"A",IF(P8&gt;=65,"B",IF(P8&gt;=50,"C",IF(P8&gt;=40,"S","W"))))</f>
        <v>B</v>
      </c>
      <c r="R8" s="43">
        <v>55</v>
      </c>
      <c r="S8" s="43" t="str">
        <f>IF(R8&gt;=75,"A",IF(R8&gt;=65,"B",IF(R8&gt;=50,"C",IF(R8&gt;=40,"S","W"))))</f>
        <v>C</v>
      </c>
      <c r="T8" s="43">
        <v>25</v>
      </c>
      <c r="U8" s="43" t="str">
        <f>IF(T8&gt;=75,"A",IF(T8&gt;=65,"B",IF(T8&gt;=50,"C",IF(T8&gt;=40,"S","W"))))</f>
        <v>W</v>
      </c>
      <c r="V8" s="44">
        <v>67</v>
      </c>
      <c r="W8" s="44" t="str">
        <f>IF(V8&gt;=75,"A",IF(V8&gt;=65,"B",IF(V8&gt;=50,"C",IF(V8&gt;=40,"S","W"))))</f>
        <v>B</v>
      </c>
      <c r="X8" s="44"/>
      <c r="Y8" s="44"/>
      <c r="Z8" s="44"/>
      <c r="AA8" s="44"/>
      <c r="AB8" s="99">
        <v>75</v>
      </c>
      <c r="AC8" s="99" t="str">
        <f>IF(AB8&gt;=75,"A",IF(AB8&gt;=65,"B",IF(AB8&gt;=50,"C",IF(AB8&gt;=40,"S","W"))))</f>
        <v>A</v>
      </c>
      <c r="AD8" s="99">
        <v>95</v>
      </c>
      <c r="AE8" s="99" t="str">
        <f>IF(AD8&gt;=75,"A",IF(AD8&gt;=65,"B",IF(AD8&gt;=50,"C",IF(AD8&gt;=40,"S","W"))))</f>
        <v>A</v>
      </c>
      <c r="AF8" s="100">
        <f>SUM(D8,F8,H8,J8,L8,N8,P8,R8,T8,V8,X8,Z8,AB8,AD8)</f>
        <v>700</v>
      </c>
      <c r="AG8" s="101">
        <f>AVERAGE(AF8/12)</f>
        <v>58.3333333333333</v>
      </c>
      <c r="AH8" s="100">
        <f>RANK(AF8,$AF$8:$AF$34,0)</f>
        <v>7</v>
      </c>
      <c r="AI8" s="36">
        <f>COUNTIF(D8:AE8,"A")</f>
        <v>2</v>
      </c>
      <c r="AJ8" s="36">
        <f t="shared" ref="AJ8:AJ34" si="0">COUNTIF(D8:AI8,"B")</f>
        <v>4</v>
      </c>
      <c r="AK8" s="36">
        <f t="shared" ref="AK8:AK34" si="1">COUNTIF(D8:AJ8,"C")</f>
        <v>3</v>
      </c>
      <c r="AL8" s="36">
        <f t="shared" ref="AL8:AL34" si="2">COUNTIF(E8:AK8,"S")</f>
        <v>1</v>
      </c>
      <c r="AM8" s="36">
        <f>COUNTIF(D8:AE8,"W")</f>
        <v>2</v>
      </c>
      <c r="AN8" s="37">
        <f>(COUNTIF(D8:AE8,"AB"))/2</f>
        <v>0</v>
      </c>
    </row>
    <row r="9" ht="16.15" customHeight="1" spans="1:40">
      <c r="A9" s="24">
        <v>2</v>
      </c>
      <c r="B9" s="276" t="s">
        <v>144</v>
      </c>
      <c r="C9" s="236" t="s">
        <v>143</v>
      </c>
      <c r="D9" s="41">
        <v>27</v>
      </c>
      <c r="E9" s="29" t="str">
        <f t="shared" ref="E9:E34" si="3">IF(D9&gt;=75,"A",IF(D9&gt;=65,"B",IF(D9&gt;=50,"C",IF(D9&gt;=40,"S","W"))))</f>
        <v>W</v>
      </c>
      <c r="F9" s="41">
        <v>17</v>
      </c>
      <c r="G9" s="49" t="str">
        <f t="shared" ref="G9:G34" si="4">IF(F9&gt;=75,"A",IF(F9&gt;=65,"B",IF(F9&gt;=50,"C",IF(F9&gt;=40,"S","W"))))</f>
        <v>W</v>
      </c>
      <c r="H9" s="41">
        <v>51</v>
      </c>
      <c r="I9" s="41" t="str">
        <f t="shared" ref="I9:I20" si="5">IF(H9&gt;=75,"A",IF(H9&gt;=65,"B",IF(H9&gt;=50,"C",IF(H9&gt;=40,"S","W"))))</f>
        <v>C</v>
      </c>
      <c r="J9" s="49">
        <v>34</v>
      </c>
      <c r="K9" s="41" t="str">
        <f t="shared" ref="K9:K34" si="6">IF(J9&gt;=75,"A",IF(J9&gt;=65,"B",IF(J9&gt;=50,"C",IF(J9&gt;=40,"S","W"))))</f>
        <v>W</v>
      </c>
      <c r="L9" s="46" t="s">
        <v>29</v>
      </c>
      <c r="M9" s="46" t="s">
        <v>29</v>
      </c>
      <c r="N9" s="49">
        <v>32</v>
      </c>
      <c r="O9" s="293" t="str">
        <f t="shared" ref="O9:O34" si="7">IF(N9&gt;=75,"A",IF(N9&gt;=65,"B",IF(N9&gt;=50,"C",IF(N9&gt;=40,"S","W"))))</f>
        <v>W</v>
      </c>
      <c r="P9" s="43">
        <v>60</v>
      </c>
      <c r="Q9" s="43" t="str">
        <f t="shared" ref="Q9:Q34" si="8">IF(P9&gt;=75,"A",IF(P9&gt;=65,"B",IF(P9&gt;=50,"C",IF(P9&gt;=40,"S","W"))))</f>
        <v>C</v>
      </c>
      <c r="R9" s="43">
        <v>44</v>
      </c>
      <c r="S9" s="43" t="str">
        <f t="shared" ref="S9:S34" si="9">IF(R9&gt;=75,"A",IF(R9&gt;=65,"B",IF(R9&gt;=50,"C",IF(R9&gt;=40,"S","W"))))</f>
        <v>S</v>
      </c>
      <c r="T9" s="43">
        <v>23</v>
      </c>
      <c r="U9" s="43" t="str">
        <f t="shared" ref="U9:U34" si="10">IF(T9&gt;=75,"A",IF(T9&gt;=65,"B",IF(T9&gt;=50,"C",IF(T9&gt;=40,"S","W"))))</f>
        <v>W</v>
      </c>
      <c r="V9" s="44">
        <v>46</v>
      </c>
      <c r="W9" s="44" t="str">
        <f t="shared" ref="W9:W33" si="11">IF(V9&gt;=75,"A",IF(V9&gt;=65,"B",IF(V9&gt;=50,"C",IF(V9&gt;=40,"S","W"))))</f>
        <v>S</v>
      </c>
      <c r="X9" s="44"/>
      <c r="Y9" s="44"/>
      <c r="Z9" s="44"/>
      <c r="AA9" s="44"/>
      <c r="AB9" s="99">
        <v>60</v>
      </c>
      <c r="AC9" s="99" t="str">
        <f t="shared" ref="AC9:AC34" si="12">IF(AB9&gt;=75,"A",IF(AB9&gt;=65,"B",IF(AB9&gt;=50,"C",IF(AB9&gt;=40,"S","W"))))</f>
        <v>C</v>
      </c>
      <c r="AD9" s="99">
        <v>75</v>
      </c>
      <c r="AE9" s="99" t="str">
        <f t="shared" ref="AE9:AE34" si="13">IF(AD9&gt;=75,"A",IF(AD9&gt;=65,"B",IF(AD9&gt;=50,"C",IF(AD9&gt;=40,"S","W"))))</f>
        <v>A</v>
      </c>
      <c r="AF9" s="100">
        <f t="shared" ref="AF9:AF34" si="14">SUM(D9,F9,H9,J9,L9,N9,P9,R9,T9,V9,X9,Z9,AB9,AD9)</f>
        <v>469</v>
      </c>
      <c r="AG9" s="101">
        <f t="shared" ref="AG9:AG34" si="15">AVERAGE(AF9/12)</f>
        <v>39.0833333333333</v>
      </c>
      <c r="AH9" s="100">
        <f t="shared" ref="AH9:AH34" si="16">RANK(AF9,$AF$8:$AF$34,0)</f>
        <v>12</v>
      </c>
      <c r="AI9" s="36">
        <f t="shared" ref="AI9:AI34" si="17">COUNTIF(D9:AE9,"A")</f>
        <v>1</v>
      </c>
      <c r="AJ9" s="36">
        <f t="shared" si="0"/>
        <v>0</v>
      </c>
      <c r="AK9" s="36">
        <f t="shared" si="1"/>
        <v>3</v>
      </c>
      <c r="AL9" s="36">
        <f t="shared" si="2"/>
        <v>2</v>
      </c>
      <c r="AM9" s="36">
        <f t="shared" ref="AM9:AM34" si="18">COUNTIF(D9:AE9,"W")</f>
        <v>5</v>
      </c>
      <c r="AN9" s="37">
        <f t="shared" ref="AN9:AN34" si="19">(COUNTIF(D9:AE9,"AB"))/2</f>
        <v>1</v>
      </c>
    </row>
    <row r="10" ht="16.15" customHeight="1" spans="1:40">
      <c r="A10" s="39">
        <v>3</v>
      </c>
      <c r="B10" s="276" t="s">
        <v>145</v>
      </c>
      <c r="C10" s="236" t="s">
        <v>143</v>
      </c>
      <c r="D10" s="46" t="s">
        <v>29</v>
      </c>
      <c r="E10" s="46" t="s">
        <v>29</v>
      </c>
      <c r="F10" s="41">
        <v>0</v>
      </c>
      <c r="G10" s="49" t="str">
        <f t="shared" si="4"/>
        <v>W</v>
      </c>
      <c r="H10" s="41">
        <v>26</v>
      </c>
      <c r="I10" s="41" t="str">
        <f t="shared" si="5"/>
        <v>W</v>
      </c>
      <c r="J10" s="49">
        <v>16</v>
      </c>
      <c r="K10" s="41" t="str">
        <f t="shared" si="6"/>
        <v>W</v>
      </c>
      <c r="L10" s="46" t="s">
        <v>29</v>
      </c>
      <c r="M10" s="46" t="s">
        <v>29</v>
      </c>
      <c r="N10" s="49">
        <v>17</v>
      </c>
      <c r="O10" s="293" t="str">
        <f t="shared" si="7"/>
        <v>W</v>
      </c>
      <c r="P10" s="42" t="s">
        <v>29</v>
      </c>
      <c r="Q10" s="42" t="s">
        <v>29</v>
      </c>
      <c r="R10" s="43">
        <v>16</v>
      </c>
      <c r="S10" s="43" t="str">
        <f t="shared" si="9"/>
        <v>W</v>
      </c>
      <c r="T10" s="43">
        <v>17</v>
      </c>
      <c r="U10" s="43" t="str">
        <f t="shared" si="10"/>
        <v>W</v>
      </c>
      <c r="V10" s="44">
        <v>22</v>
      </c>
      <c r="W10" s="44" t="str">
        <f t="shared" si="11"/>
        <v>W</v>
      </c>
      <c r="X10" s="44"/>
      <c r="Y10" s="44"/>
      <c r="Z10" s="44"/>
      <c r="AA10" s="44"/>
      <c r="AB10" s="99">
        <v>11</v>
      </c>
      <c r="AC10" s="99" t="str">
        <f t="shared" si="12"/>
        <v>W</v>
      </c>
      <c r="AD10" s="99">
        <v>25</v>
      </c>
      <c r="AE10" s="99" t="str">
        <f t="shared" si="13"/>
        <v>W</v>
      </c>
      <c r="AF10" s="100">
        <f t="shared" si="14"/>
        <v>150</v>
      </c>
      <c r="AG10" s="101">
        <f t="shared" si="15"/>
        <v>12.5</v>
      </c>
      <c r="AH10" s="100">
        <f t="shared" si="16"/>
        <v>24</v>
      </c>
      <c r="AI10" s="36">
        <f t="shared" si="17"/>
        <v>0</v>
      </c>
      <c r="AJ10" s="36">
        <f t="shared" si="0"/>
        <v>0</v>
      </c>
      <c r="AK10" s="36">
        <f t="shared" si="1"/>
        <v>0</v>
      </c>
      <c r="AL10" s="36">
        <f t="shared" si="2"/>
        <v>0</v>
      </c>
      <c r="AM10" s="36">
        <f t="shared" si="18"/>
        <v>9</v>
      </c>
      <c r="AN10" s="37">
        <f t="shared" si="19"/>
        <v>3</v>
      </c>
    </row>
    <row r="11" ht="16.15" customHeight="1" spans="1:40">
      <c r="A11" s="24">
        <v>4</v>
      </c>
      <c r="B11" s="276" t="s">
        <v>146</v>
      </c>
      <c r="C11" s="236" t="s">
        <v>143</v>
      </c>
      <c r="D11" s="41">
        <v>33</v>
      </c>
      <c r="E11" s="29" t="str">
        <f t="shared" si="3"/>
        <v>W</v>
      </c>
      <c r="F11" s="41">
        <v>0</v>
      </c>
      <c r="G11" s="49" t="str">
        <f t="shared" si="4"/>
        <v>W</v>
      </c>
      <c r="H11" s="41">
        <v>14</v>
      </c>
      <c r="I11" s="41" t="str">
        <f t="shared" si="5"/>
        <v>W</v>
      </c>
      <c r="J11" s="49">
        <v>16</v>
      </c>
      <c r="K11" s="41" t="str">
        <f t="shared" si="6"/>
        <v>W</v>
      </c>
      <c r="L11" s="49">
        <v>30</v>
      </c>
      <c r="M11" s="41" t="str">
        <f t="shared" ref="M11:M34" si="20">IF(L11&gt;=75,"A",IF(L11&gt;=65,"B",IF(L11&gt;=50,"C",IF(L11&gt;=40,"S","W"))))</f>
        <v>W</v>
      </c>
      <c r="N11" s="49">
        <v>28</v>
      </c>
      <c r="O11" s="293" t="str">
        <f t="shared" si="7"/>
        <v>W</v>
      </c>
      <c r="P11" s="43">
        <v>41</v>
      </c>
      <c r="Q11" s="43" t="str">
        <f t="shared" si="8"/>
        <v>S</v>
      </c>
      <c r="R11" s="43">
        <v>26</v>
      </c>
      <c r="S11" s="43" t="str">
        <f t="shared" si="9"/>
        <v>W</v>
      </c>
      <c r="T11" s="43">
        <v>11</v>
      </c>
      <c r="U11" s="43" t="str">
        <f t="shared" si="10"/>
        <v>W</v>
      </c>
      <c r="V11" s="44"/>
      <c r="W11" s="44"/>
      <c r="X11" s="44">
        <v>67</v>
      </c>
      <c r="Y11" s="44" t="str">
        <f t="shared" ref="Y11:Y33" si="21">IF(X11&gt;=75,"A",IF(X11&gt;=65,"B",IF(X11&gt;=50,"C",IF(X11&gt;=40,"S","W"))))</f>
        <v>B</v>
      </c>
      <c r="Z11" s="44"/>
      <c r="AA11" s="44"/>
      <c r="AB11" s="99">
        <v>41</v>
      </c>
      <c r="AC11" s="99" t="str">
        <f t="shared" si="12"/>
        <v>S</v>
      </c>
      <c r="AD11" s="99">
        <v>85</v>
      </c>
      <c r="AE11" s="99" t="str">
        <f t="shared" si="13"/>
        <v>A</v>
      </c>
      <c r="AF11" s="100">
        <f t="shared" si="14"/>
        <v>392</v>
      </c>
      <c r="AG11" s="101">
        <f t="shared" si="15"/>
        <v>32.6666666666667</v>
      </c>
      <c r="AH11" s="100">
        <f t="shared" si="16"/>
        <v>18</v>
      </c>
      <c r="AI11" s="36">
        <f t="shared" si="17"/>
        <v>1</v>
      </c>
      <c r="AJ11" s="36">
        <f t="shared" si="0"/>
        <v>1</v>
      </c>
      <c r="AK11" s="36">
        <f t="shared" si="1"/>
        <v>0</v>
      </c>
      <c r="AL11" s="36">
        <f t="shared" si="2"/>
        <v>2</v>
      </c>
      <c r="AM11" s="36">
        <f t="shared" si="18"/>
        <v>8</v>
      </c>
      <c r="AN11" s="37">
        <f t="shared" si="19"/>
        <v>0</v>
      </c>
    </row>
    <row r="12" ht="16.15" customHeight="1" spans="1:40">
      <c r="A12" s="39">
        <v>5</v>
      </c>
      <c r="B12" s="276" t="s">
        <v>147</v>
      </c>
      <c r="C12" s="236" t="s">
        <v>143</v>
      </c>
      <c r="D12" s="41">
        <v>20</v>
      </c>
      <c r="E12" s="29" t="str">
        <f t="shared" si="3"/>
        <v>W</v>
      </c>
      <c r="F12" s="41">
        <v>5</v>
      </c>
      <c r="G12" s="49" t="str">
        <f t="shared" si="4"/>
        <v>W</v>
      </c>
      <c r="H12" s="41">
        <v>18</v>
      </c>
      <c r="I12" s="41" t="str">
        <f t="shared" si="5"/>
        <v>W</v>
      </c>
      <c r="J12" s="49">
        <v>24</v>
      </c>
      <c r="K12" s="41" t="str">
        <f t="shared" si="6"/>
        <v>W</v>
      </c>
      <c r="L12" s="41">
        <v>10</v>
      </c>
      <c r="M12" s="41" t="str">
        <f t="shared" si="20"/>
        <v>W</v>
      </c>
      <c r="N12" s="49">
        <v>18</v>
      </c>
      <c r="O12" s="293" t="str">
        <f t="shared" si="7"/>
        <v>W</v>
      </c>
      <c r="P12" s="43">
        <v>51</v>
      </c>
      <c r="Q12" s="43" t="str">
        <f t="shared" si="8"/>
        <v>C</v>
      </c>
      <c r="R12" s="43">
        <v>30</v>
      </c>
      <c r="S12" s="43" t="str">
        <f t="shared" si="9"/>
        <v>W</v>
      </c>
      <c r="T12" s="43">
        <v>22</v>
      </c>
      <c r="U12" s="43" t="str">
        <f t="shared" si="10"/>
        <v>W</v>
      </c>
      <c r="V12" s="44">
        <v>42</v>
      </c>
      <c r="W12" s="44" t="str">
        <f t="shared" si="11"/>
        <v>S</v>
      </c>
      <c r="X12" s="44"/>
      <c r="Y12" s="44"/>
      <c r="Z12" s="44"/>
      <c r="AA12" s="44"/>
      <c r="AB12" s="99">
        <v>46</v>
      </c>
      <c r="AC12" s="99" t="str">
        <f t="shared" si="12"/>
        <v>S</v>
      </c>
      <c r="AD12" s="99">
        <v>65</v>
      </c>
      <c r="AE12" s="99" t="str">
        <f t="shared" si="13"/>
        <v>B</v>
      </c>
      <c r="AF12" s="100">
        <f t="shared" si="14"/>
        <v>351</v>
      </c>
      <c r="AG12" s="101">
        <f t="shared" si="15"/>
        <v>29.25</v>
      </c>
      <c r="AH12" s="100">
        <f t="shared" si="16"/>
        <v>19</v>
      </c>
      <c r="AI12" s="36">
        <f t="shared" si="17"/>
        <v>0</v>
      </c>
      <c r="AJ12" s="36">
        <f t="shared" si="0"/>
        <v>1</v>
      </c>
      <c r="AK12" s="36">
        <f t="shared" si="1"/>
        <v>1</v>
      </c>
      <c r="AL12" s="36">
        <f t="shared" si="2"/>
        <v>2</v>
      </c>
      <c r="AM12" s="36">
        <f t="shared" si="18"/>
        <v>8</v>
      </c>
      <c r="AN12" s="37">
        <f t="shared" si="19"/>
        <v>0</v>
      </c>
    </row>
    <row r="13" ht="16.15" customHeight="1" spans="1:40">
      <c r="A13" s="24">
        <v>6</v>
      </c>
      <c r="B13" s="276" t="s">
        <v>148</v>
      </c>
      <c r="C13" s="236" t="s">
        <v>143</v>
      </c>
      <c r="D13" s="41">
        <v>28</v>
      </c>
      <c r="E13" s="29" t="str">
        <f t="shared" si="3"/>
        <v>W</v>
      </c>
      <c r="F13" s="41">
        <v>13</v>
      </c>
      <c r="G13" s="49" t="str">
        <f t="shared" si="4"/>
        <v>W</v>
      </c>
      <c r="H13" s="41">
        <v>28</v>
      </c>
      <c r="I13" s="41" t="str">
        <f t="shared" si="5"/>
        <v>W</v>
      </c>
      <c r="J13" s="49">
        <v>33</v>
      </c>
      <c r="K13" s="41" t="str">
        <f t="shared" si="6"/>
        <v>W</v>
      </c>
      <c r="L13" s="41">
        <v>34</v>
      </c>
      <c r="M13" s="41" t="str">
        <f t="shared" si="20"/>
        <v>W</v>
      </c>
      <c r="N13" s="49">
        <v>22</v>
      </c>
      <c r="O13" s="293" t="str">
        <f t="shared" si="7"/>
        <v>W</v>
      </c>
      <c r="P13" s="43">
        <v>52</v>
      </c>
      <c r="Q13" s="43">
        <v>5</v>
      </c>
      <c r="R13" s="43">
        <v>43</v>
      </c>
      <c r="S13" s="43" t="str">
        <f t="shared" si="9"/>
        <v>S</v>
      </c>
      <c r="T13" s="43">
        <v>23</v>
      </c>
      <c r="U13" s="43" t="str">
        <f t="shared" si="10"/>
        <v>W</v>
      </c>
      <c r="V13" s="44"/>
      <c r="W13" s="44"/>
      <c r="X13" s="44">
        <v>74</v>
      </c>
      <c r="Y13" s="44" t="str">
        <f t="shared" si="21"/>
        <v>B</v>
      </c>
      <c r="Z13" s="44"/>
      <c r="AA13" s="44"/>
      <c r="AB13" s="99">
        <v>61</v>
      </c>
      <c r="AC13" s="99" t="str">
        <f t="shared" si="12"/>
        <v>C</v>
      </c>
      <c r="AD13" s="99">
        <v>60</v>
      </c>
      <c r="AE13" s="99" t="str">
        <f t="shared" si="13"/>
        <v>C</v>
      </c>
      <c r="AF13" s="100">
        <f t="shared" si="14"/>
        <v>471</v>
      </c>
      <c r="AG13" s="101">
        <f t="shared" si="15"/>
        <v>39.25</v>
      </c>
      <c r="AH13" s="100">
        <f t="shared" si="16"/>
        <v>11</v>
      </c>
      <c r="AI13" s="36">
        <f t="shared" si="17"/>
        <v>0</v>
      </c>
      <c r="AJ13" s="36">
        <f t="shared" si="0"/>
        <v>1</v>
      </c>
      <c r="AK13" s="36">
        <f t="shared" si="1"/>
        <v>2</v>
      </c>
      <c r="AL13" s="36">
        <f t="shared" si="2"/>
        <v>1</v>
      </c>
      <c r="AM13" s="36">
        <f t="shared" si="18"/>
        <v>7</v>
      </c>
      <c r="AN13" s="37">
        <f t="shared" si="19"/>
        <v>0</v>
      </c>
    </row>
    <row r="14" ht="16.15" customHeight="1" spans="1:40">
      <c r="A14" s="39">
        <v>7</v>
      </c>
      <c r="B14" s="276" t="s">
        <v>149</v>
      </c>
      <c r="C14" s="236" t="s">
        <v>143</v>
      </c>
      <c r="D14" s="46" t="s">
        <v>29</v>
      </c>
      <c r="E14" s="46" t="s">
        <v>29</v>
      </c>
      <c r="F14" s="46" t="s">
        <v>29</v>
      </c>
      <c r="G14" s="46" t="s">
        <v>29</v>
      </c>
      <c r="H14" s="46" t="s">
        <v>29</v>
      </c>
      <c r="I14" s="46" t="s">
        <v>29</v>
      </c>
      <c r="J14" s="46" t="s">
        <v>29</v>
      </c>
      <c r="K14" s="46" t="s">
        <v>29</v>
      </c>
      <c r="L14" s="46" t="s">
        <v>29</v>
      </c>
      <c r="M14" s="46" t="s">
        <v>29</v>
      </c>
      <c r="N14" s="46" t="s">
        <v>29</v>
      </c>
      <c r="O14" s="46" t="s">
        <v>29</v>
      </c>
      <c r="P14" s="394" t="s">
        <v>29</v>
      </c>
      <c r="Q14" s="394" t="s">
        <v>29</v>
      </c>
      <c r="R14" s="394" t="s">
        <v>29</v>
      </c>
      <c r="S14" s="394" t="s">
        <v>29</v>
      </c>
      <c r="T14" s="394" t="s">
        <v>29</v>
      </c>
      <c r="U14" s="394" t="s">
        <v>29</v>
      </c>
      <c r="V14" s="44"/>
      <c r="W14" s="44"/>
      <c r="X14" s="44"/>
      <c r="Y14" s="44"/>
      <c r="Z14" s="44"/>
      <c r="AA14" s="44"/>
      <c r="AB14" s="304" t="s">
        <v>29</v>
      </c>
      <c r="AC14" s="304" t="s">
        <v>29</v>
      </c>
      <c r="AD14" s="294">
        <v>40</v>
      </c>
      <c r="AE14" s="99" t="str">
        <f t="shared" si="13"/>
        <v>S</v>
      </c>
      <c r="AF14" s="100">
        <f t="shared" si="14"/>
        <v>40</v>
      </c>
      <c r="AG14" s="101">
        <f t="shared" si="15"/>
        <v>3.33333333333333</v>
      </c>
      <c r="AH14" s="100">
        <f t="shared" si="16"/>
        <v>27</v>
      </c>
      <c r="AI14" s="36">
        <f t="shared" si="17"/>
        <v>0</v>
      </c>
      <c r="AJ14" s="36">
        <f t="shared" si="0"/>
        <v>0</v>
      </c>
      <c r="AK14" s="36">
        <f t="shared" si="1"/>
        <v>0</v>
      </c>
      <c r="AL14" s="36">
        <f t="shared" si="2"/>
        <v>1</v>
      </c>
      <c r="AM14" s="36">
        <f t="shared" si="18"/>
        <v>0</v>
      </c>
      <c r="AN14" s="37">
        <f t="shared" si="19"/>
        <v>10</v>
      </c>
    </row>
    <row r="15" ht="16.15" customHeight="1" spans="1:40">
      <c r="A15" s="24">
        <v>8</v>
      </c>
      <c r="B15" s="276" t="s">
        <v>150</v>
      </c>
      <c r="C15" s="236" t="s">
        <v>143</v>
      </c>
      <c r="D15" s="41">
        <v>58</v>
      </c>
      <c r="E15" s="29" t="str">
        <f t="shared" si="3"/>
        <v>C</v>
      </c>
      <c r="F15" s="41">
        <v>5</v>
      </c>
      <c r="G15" s="49" t="str">
        <f t="shared" si="4"/>
        <v>W</v>
      </c>
      <c r="H15" s="41">
        <v>37</v>
      </c>
      <c r="I15" s="41" t="str">
        <f t="shared" si="5"/>
        <v>W</v>
      </c>
      <c r="J15" s="41">
        <v>29</v>
      </c>
      <c r="K15" s="41" t="str">
        <f t="shared" si="6"/>
        <v>W</v>
      </c>
      <c r="L15" s="41">
        <v>46</v>
      </c>
      <c r="M15" s="41" t="str">
        <f t="shared" si="20"/>
        <v>S</v>
      </c>
      <c r="N15" s="49">
        <v>51</v>
      </c>
      <c r="O15" s="293" t="str">
        <f t="shared" si="7"/>
        <v>C</v>
      </c>
      <c r="P15" s="43">
        <v>70</v>
      </c>
      <c r="Q15" s="43" t="str">
        <f t="shared" si="8"/>
        <v>B</v>
      </c>
      <c r="R15" s="43">
        <v>28</v>
      </c>
      <c r="S15" s="43" t="str">
        <f t="shared" si="9"/>
        <v>W</v>
      </c>
      <c r="T15" s="43">
        <v>9</v>
      </c>
      <c r="U15" s="43" t="str">
        <f t="shared" si="10"/>
        <v>W</v>
      </c>
      <c r="V15" s="44"/>
      <c r="W15" s="44"/>
      <c r="X15" s="44"/>
      <c r="Y15" s="44"/>
      <c r="Z15" s="44">
        <v>62</v>
      </c>
      <c r="AA15" s="44" t="str">
        <f>IF(Z15&gt;=75,"A",IF(Z15&gt;=65,"B",IF(Z15&gt;=50,"C",IF(Z15&gt;=40,"S","W"))))</f>
        <v>C</v>
      </c>
      <c r="AB15" s="99">
        <v>76</v>
      </c>
      <c r="AC15" s="99" t="str">
        <f t="shared" si="12"/>
        <v>A</v>
      </c>
      <c r="AD15" s="99">
        <v>50</v>
      </c>
      <c r="AE15" s="99" t="str">
        <f t="shared" si="13"/>
        <v>C</v>
      </c>
      <c r="AF15" s="100">
        <f t="shared" si="14"/>
        <v>521</v>
      </c>
      <c r="AG15" s="101">
        <f t="shared" si="15"/>
        <v>43.4166666666667</v>
      </c>
      <c r="AH15" s="100">
        <f t="shared" si="16"/>
        <v>10</v>
      </c>
      <c r="AI15" s="36">
        <f t="shared" si="17"/>
        <v>1</v>
      </c>
      <c r="AJ15" s="36">
        <f t="shared" si="0"/>
        <v>1</v>
      </c>
      <c r="AK15" s="36">
        <f t="shared" si="1"/>
        <v>4</v>
      </c>
      <c r="AL15" s="36">
        <f t="shared" si="2"/>
        <v>1</v>
      </c>
      <c r="AM15" s="36">
        <f t="shared" si="18"/>
        <v>5</v>
      </c>
      <c r="AN15" s="37">
        <f t="shared" si="19"/>
        <v>0</v>
      </c>
    </row>
    <row r="16" ht="16.15" customHeight="1" spans="1:40">
      <c r="A16" s="39">
        <v>9</v>
      </c>
      <c r="B16" s="276" t="s">
        <v>151</v>
      </c>
      <c r="C16" s="236" t="s">
        <v>143</v>
      </c>
      <c r="D16" s="41">
        <v>12</v>
      </c>
      <c r="E16" s="29" t="str">
        <f t="shared" si="3"/>
        <v>W</v>
      </c>
      <c r="F16" s="41">
        <v>2</v>
      </c>
      <c r="G16" s="49" t="str">
        <f t="shared" si="4"/>
        <v>W</v>
      </c>
      <c r="H16" s="41">
        <v>4</v>
      </c>
      <c r="I16" s="41" t="str">
        <f t="shared" si="5"/>
        <v>W</v>
      </c>
      <c r="J16" s="41">
        <v>14</v>
      </c>
      <c r="K16" s="41" t="str">
        <f t="shared" si="6"/>
        <v>W</v>
      </c>
      <c r="L16" s="41">
        <v>15</v>
      </c>
      <c r="M16" s="41" t="str">
        <f t="shared" si="20"/>
        <v>W</v>
      </c>
      <c r="N16" s="49">
        <v>25</v>
      </c>
      <c r="O16" s="293" t="str">
        <f t="shared" si="7"/>
        <v>W</v>
      </c>
      <c r="P16" s="43">
        <v>21</v>
      </c>
      <c r="Q16" s="43" t="str">
        <f t="shared" si="8"/>
        <v>W</v>
      </c>
      <c r="R16" s="43">
        <v>18</v>
      </c>
      <c r="S16" s="43" t="str">
        <f t="shared" si="9"/>
        <v>W</v>
      </c>
      <c r="T16" s="43">
        <v>10</v>
      </c>
      <c r="U16" s="43" t="str">
        <f t="shared" si="10"/>
        <v>W</v>
      </c>
      <c r="V16" s="44"/>
      <c r="W16" s="44"/>
      <c r="X16" s="44"/>
      <c r="Y16" s="44"/>
      <c r="Z16" s="44">
        <v>27</v>
      </c>
      <c r="AA16" s="44" t="str">
        <f t="shared" ref="AA16:AA34" si="22">IF(Z16&gt;=75,"A",IF(Z16&gt;=65,"B",IF(Z16&gt;=50,"C",IF(Z16&gt;=40,"S","W"))))</f>
        <v>W</v>
      </c>
      <c r="AB16" s="99">
        <v>20</v>
      </c>
      <c r="AC16" s="99" t="str">
        <f t="shared" si="12"/>
        <v>W</v>
      </c>
      <c r="AD16" s="99">
        <v>70</v>
      </c>
      <c r="AE16" s="99" t="str">
        <f t="shared" si="13"/>
        <v>B</v>
      </c>
      <c r="AF16" s="100">
        <f t="shared" si="14"/>
        <v>238</v>
      </c>
      <c r="AG16" s="101">
        <f t="shared" si="15"/>
        <v>19.8333333333333</v>
      </c>
      <c r="AH16" s="100">
        <f t="shared" si="16"/>
        <v>22</v>
      </c>
      <c r="AI16" s="36">
        <f t="shared" si="17"/>
        <v>0</v>
      </c>
      <c r="AJ16" s="36">
        <f t="shared" si="0"/>
        <v>1</v>
      </c>
      <c r="AK16" s="36">
        <f t="shared" si="1"/>
        <v>0</v>
      </c>
      <c r="AL16" s="36">
        <f t="shared" si="2"/>
        <v>0</v>
      </c>
      <c r="AM16" s="36">
        <f t="shared" si="18"/>
        <v>11</v>
      </c>
      <c r="AN16" s="37">
        <f t="shared" si="19"/>
        <v>0</v>
      </c>
    </row>
    <row r="17" ht="16.15" customHeight="1" spans="1:40">
      <c r="A17" s="24">
        <v>10</v>
      </c>
      <c r="B17" s="276" t="s">
        <v>152</v>
      </c>
      <c r="C17" s="236" t="s">
        <v>143</v>
      </c>
      <c r="D17" s="41">
        <v>23</v>
      </c>
      <c r="E17" s="29" t="str">
        <f t="shared" si="3"/>
        <v>W</v>
      </c>
      <c r="F17" s="41">
        <v>10</v>
      </c>
      <c r="G17" s="49" t="str">
        <f t="shared" si="4"/>
        <v>W</v>
      </c>
      <c r="H17" s="46" t="s">
        <v>29</v>
      </c>
      <c r="I17" s="46" t="s">
        <v>29</v>
      </c>
      <c r="J17" s="46" t="s">
        <v>29</v>
      </c>
      <c r="K17" s="46" t="s">
        <v>29</v>
      </c>
      <c r="L17" s="41">
        <v>9</v>
      </c>
      <c r="M17" s="41" t="str">
        <f t="shared" si="20"/>
        <v>W</v>
      </c>
      <c r="N17" s="41">
        <v>13</v>
      </c>
      <c r="O17" s="293" t="str">
        <f t="shared" si="7"/>
        <v>W</v>
      </c>
      <c r="P17" s="43">
        <v>20</v>
      </c>
      <c r="Q17" s="43" t="str">
        <f t="shared" si="8"/>
        <v>W</v>
      </c>
      <c r="R17" s="43">
        <v>18</v>
      </c>
      <c r="S17" s="43" t="str">
        <f t="shared" si="9"/>
        <v>W</v>
      </c>
      <c r="T17" s="43">
        <v>5</v>
      </c>
      <c r="U17" s="43" t="str">
        <f t="shared" si="10"/>
        <v>W</v>
      </c>
      <c r="V17" s="44">
        <v>28</v>
      </c>
      <c r="W17" s="44" t="str">
        <f t="shared" si="11"/>
        <v>W</v>
      </c>
      <c r="X17" s="44"/>
      <c r="Y17" s="44"/>
      <c r="Z17" s="44"/>
      <c r="AA17" s="44"/>
      <c r="AB17" s="395">
        <v>50</v>
      </c>
      <c r="AC17" s="395" t="str">
        <f t="shared" si="12"/>
        <v>C</v>
      </c>
      <c r="AD17" s="395">
        <v>78</v>
      </c>
      <c r="AE17" s="99" t="str">
        <f t="shared" si="13"/>
        <v>A</v>
      </c>
      <c r="AF17" s="100">
        <f t="shared" si="14"/>
        <v>254</v>
      </c>
      <c r="AG17" s="101">
        <f t="shared" si="15"/>
        <v>21.1666666666667</v>
      </c>
      <c r="AH17" s="100">
        <f t="shared" si="16"/>
        <v>21</v>
      </c>
      <c r="AI17" s="36">
        <f t="shared" si="17"/>
        <v>1</v>
      </c>
      <c r="AJ17" s="36">
        <f t="shared" si="0"/>
        <v>0</v>
      </c>
      <c r="AK17" s="36">
        <f t="shared" si="1"/>
        <v>1</v>
      </c>
      <c r="AL17" s="36">
        <f t="shared" si="2"/>
        <v>0</v>
      </c>
      <c r="AM17" s="36">
        <f t="shared" si="18"/>
        <v>8</v>
      </c>
      <c r="AN17" s="37">
        <f t="shared" si="19"/>
        <v>2</v>
      </c>
    </row>
    <row r="18" ht="16.15" customHeight="1" spans="1:40">
      <c r="A18" s="39">
        <v>11</v>
      </c>
      <c r="B18" s="276" t="s">
        <v>153</v>
      </c>
      <c r="C18" s="236" t="s">
        <v>143</v>
      </c>
      <c r="D18" s="41">
        <v>25</v>
      </c>
      <c r="E18" s="29" t="str">
        <f t="shared" si="3"/>
        <v>W</v>
      </c>
      <c r="F18" s="41">
        <v>11</v>
      </c>
      <c r="G18" s="49" t="str">
        <f t="shared" si="4"/>
        <v>W</v>
      </c>
      <c r="H18" s="41">
        <v>24</v>
      </c>
      <c r="I18" s="41" t="str">
        <f t="shared" si="5"/>
        <v>W</v>
      </c>
      <c r="J18" s="41">
        <v>24</v>
      </c>
      <c r="K18" s="41" t="str">
        <f t="shared" si="6"/>
        <v>W</v>
      </c>
      <c r="L18" s="41">
        <v>32</v>
      </c>
      <c r="M18" s="41" t="str">
        <f t="shared" si="20"/>
        <v>W</v>
      </c>
      <c r="N18" s="49">
        <v>16</v>
      </c>
      <c r="O18" s="293" t="str">
        <f t="shared" si="7"/>
        <v>W</v>
      </c>
      <c r="P18" s="43">
        <v>49</v>
      </c>
      <c r="Q18" s="43" t="str">
        <f t="shared" si="8"/>
        <v>S</v>
      </c>
      <c r="R18" s="43">
        <v>36</v>
      </c>
      <c r="S18" s="43" t="str">
        <f t="shared" si="9"/>
        <v>W</v>
      </c>
      <c r="T18" s="43">
        <v>28</v>
      </c>
      <c r="U18" s="43" t="str">
        <f t="shared" si="10"/>
        <v>W</v>
      </c>
      <c r="V18" s="44"/>
      <c r="W18" s="44"/>
      <c r="X18" s="44"/>
      <c r="Y18" s="44"/>
      <c r="Z18" s="44">
        <v>30</v>
      </c>
      <c r="AA18" s="44" t="str">
        <f t="shared" si="22"/>
        <v>W</v>
      </c>
      <c r="AB18" s="99">
        <v>39</v>
      </c>
      <c r="AC18" s="99" t="str">
        <f t="shared" si="12"/>
        <v>W</v>
      </c>
      <c r="AD18" s="99">
        <v>80</v>
      </c>
      <c r="AE18" s="99" t="str">
        <f t="shared" si="13"/>
        <v>A</v>
      </c>
      <c r="AF18" s="100">
        <f t="shared" si="14"/>
        <v>394</v>
      </c>
      <c r="AG18" s="101">
        <f t="shared" si="15"/>
        <v>32.8333333333333</v>
      </c>
      <c r="AH18" s="100">
        <f t="shared" si="16"/>
        <v>16</v>
      </c>
      <c r="AI18" s="36">
        <f t="shared" si="17"/>
        <v>1</v>
      </c>
      <c r="AJ18" s="36">
        <f t="shared" si="0"/>
        <v>0</v>
      </c>
      <c r="AK18" s="36">
        <f t="shared" si="1"/>
        <v>0</v>
      </c>
      <c r="AL18" s="36">
        <f t="shared" si="2"/>
        <v>1</v>
      </c>
      <c r="AM18" s="36">
        <f t="shared" si="18"/>
        <v>10</v>
      </c>
      <c r="AN18" s="37">
        <f t="shared" si="19"/>
        <v>0</v>
      </c>
    </row>
    <row r="19" ht="16.15" customHeight="1" spans="1:40">
      <c r="A19" s="24">
        <v>12</v>
      </c>
      <c r="B19" s="276" t="s">
        <v>154</v>
      </c>
      <c r="C19" s="236" t="s">
        <v>143</v>
      </c>
      <c r="D19" s="41">
        <v>17</v>
      </c>
      <c r="E19" s="29" t="str">
        <f t="shared" si="3"/>
        <v>W</v>
      </c>
      <c r="F19" s="41">
        <v>6</v>
      </c>
      <c r="G19" s="49" t="str">
        <f t="shared" si="4"/>
        <v>W</v>
      </c>
      <c r="H19" s="41">
        <v>16</v>
      </c>
      <c r="I19" s="41" t="str">
        <f t="shared" si="5"/>
        <v>W</v>
      </c>
      <c r="J19" s="41">
        <v>6</v>
      </c>
      <c r="K19" s="41" t="str">
        <f t="shared" si="6"/>
        <v>W</v>
      </c>
      <c r="L19" s="41">
        <v>18</v>
      </c>
      <c r="M19" s="41" t="str">
        <f t="shared" si="20"/>
        <v>W</v>
      </c>
      <c r="N19" s="49">
        <v>8</v>
      </c>
      <c r="O19" s="293" t="str">
        <f t="shared" si="7"/>
        <v>W</v>
      </c>
      <c r="P19" s="43">
        <v>45</v>
      </c>
      <c r="Q19" s="43" t="str">
        <f t="shared" si="8"/>
        <v>S</v>
      </c>
      <c r="R19" s="43">
        <v>10</v>
      </c>
      <c r="S19" s="43" t="str">
        <f t="shared" si="9"/>
        <v>W</v>
      </c>
      <c r="T19" s="43">
        <v>16</v>
      </c>
      <c r="U19" s="43" t="str">
        <f t="shared" si="10"/>
        <v>W</v>
      </c>
      <c r="V19" s="44">
        <v>21</v>
      </c>
      <c r="W19" s="44" t="str">
        <f t="shared" si="11"/>
        <v>W</v>
      </c>
      <c r="X19" s="44"/>
      <c r="Y19" s="44"/>
      <c r="Z19" s="44"/>
      <c r="AA19" s="44"/>
      <c r="AB19" s="99">
        <v>11</v>
      </c>
      <c r="AC19" s="99" t="str">
        <f t="shared" si="12"/>
        <v>W</v>
      </c>
      <c r="AD19" s="99">
        <v>50</v>
      </c>
      <c r="AE19" s="99" t="str">
        <f t="shared" si="13"/>
        <v>C</v>
      </c>
      <c r="AF19" s="100">
        <f t="shared" si="14"/>
        <v>224</v>
      </c>
      <c r="AG19" s="101">
        <f t="shared" si="15"/>
        <v>18.6666666666667</v>
      </c>
      <c r="AH19" s="100">
        <f t="shared" si="16"/>
        <v>23</v>
      </c>
      <c r="AI19" s="36">
        <f t="shared" si="17"/>
        <v>0</v>
      </c>
      <c r="AJ19" s="36">
        <f t="shared" si="0"/>
        <v>0</v>
      </c>
      <c r="AK19" s="36">
        <f t="shared" si="1"/>
        <v>1</v>
      </c>
      <c r="AL19" s="36">
        <f t="shared" si="2"/>
        <v>1</v>
      </c>
      <c r="AM19" s="36">
        <f t="shared" si="18"/>
        <v>10</v>
      </c>
      <c r="AN19" s="37">
        <f t="shared" si="19"/>
        <v>0</v>
      </c>
    </row>
    <row r="20" ht="16.15" customHeight="1" spans="1:40">
      <c r="A20" s="39">
        <v>13</v>
      </c>
      <c r="B20" s="276" t="s">
        <v>155</v>
      </c>
      <c r="C20" s="236" t="s">
        <v>143</v>
      </c>
      <c r="D20" s="41">
        <v>35</v>
      </c>
      <c r="E20" s="29" t="str">
        <f t="shared" si="3"/>
        <v>W</v>
      </c>
      <c r="F20" s="41">
        <v>11</v>
      </c>
      <c r="G20" s="49" t="str">
        <f t="shared" si="4"/>
        <v>W</v>
      </c>
      <c r="H20" s="41">
        <v>21</v>
      </c>
      <c r="I20" s="41" t="str">
        <f t="shared" si="5"/>
        <v>W</v>
      </c>
      <c r="J20" s="41">
        <v>37</v>
      </c>
      <c r="K20" s="41" t="str">
        <f t="shared" si="6"/>
        <v>W</v>
      </c>
      <c r="L20" s="41">
        <v>33</v>
      </c>
      <c r="M20" s="41" t="str">
        <f t="shared" si="20"/>
        <v>W</v>
      </c>
      <c r="N20" s="49">
        <v>28</v>
      </c>
      <c r="O20" s="293" t="str">
        <f t="shared" si="7"/>
        <v>W</v>
      </c>
      <c r="P20" s="43">
        <v>16</v>
      </c>
      <c r="Q20" s="43" t="str">
        <f t="shared" si="8"/>
        <v>W</v>
      </c>
      <c r="R20" s="43">
        <v>28</v>
      </c>
      <c r="S20" s="43" t="str">
        <f t="shared" si="9"/>
        <v>W</v>
      </c>
      <c r="T20" s="43">
        <v>13</v>
      </c>
      <c r="U20" s="43" t="str">
        <f t="shared" si="10"/>
        <v>W</v>
      </c>
      <c r="V20" s="44"/>
      <c r="W20" s="44"/>
      <c r="X20" s="44"/>
      <c r="Y20" s="44"/>
      <c r="Z20" s="44">
        <v>53</v>
      </c>
      <c r="AA20" s="44" t="str">
        <f t="shared" si="22"/>
        <v>C</v>
      </c>
      <c r="AB20" s="99">
        <v>60</v>
      </c>
      <c r="AC20" s="99" t="str">
        <f t="shared" si="12"/>
        <v>C</v>
      </c>
      <c r="AD20" s="99">
        <v>80</v>
      </c>
      <c r="AE20" s="99" t="str">
        <f t="shared" si="13"/>
        <v>A</v>
      </c>
      <c r="AF20" s="100">
        <f t="shared" si="14"/>
        <v>415</v>
      </c>
      <c r="AG20" s="101">
        <f t="shared" si="15"/>
        <v>34.5833333333333</v>
      </c>
      <c r="AH20" s="100">
        <f t="shared" si="16"/>
        <v>14</v>
      </c>
      <c r="AI20" s="36">
        <f t="shared" si="17"/>
        <v>1</v>
      </c>
      <c r="AJ20" s="36">
        <f t="shared" si="0"/>
        <v>0</v>
      </c>
      <c r="AK20" s="36">
        <f t="shared" si="1"/>
        <v>2</v>
      </c>
      <c r="AL20" s="36">
        <f t="shared" si="2"/>
        <v>0</v>
      </c>
      <c r="AM20" s="36">
        <f t="shared" si="18"/>
        <v>9</v>
      </c>
      <c r="AN20" s="37">
        <f t="shared" si="19"/>
        <v>0</v>
      </c>
    </row>
    <row r="21" ht="16.15" customHeight="1" spans="1:40">
      <c r="A21" s="24">
        <v>14</v>
      </c>
      <c r="B21" s="276" t="s">
        <v>156</v>
      </c>
      <c r="C21" s="236" t="s">
        <v>143</v>
      </c>
      <c r="D21" s="46" t="s">
        <v>29</v>
      </c>
      <c r="E21" s="46" t="s">
        <v>29</v>
      </c>
      <c r="F21" s="46" t="s">
        <v>29</v>
      </c>
      <c r="G21" s="46" t="s">
        <v>29</v>
      </c>
      <c r="H21" s="46" t="s">
        <v>29</v>
      </c>
      <c r="I21" s="46" t="s">
        <v>29</v>
      </c>
      <c r="J21" s="46" t="s">
        <v>29</v>
      </c>
      <c r="K21" s="46" t="s">
        <v>29</v>
      </c>
      <c r="L21" s="46" t="s">
        <v>29</v>
      </c>
      <c r="M21" s="46" t="s">
        <v>29</v>
      </c>
      <c r="N21" s="46" t="s">
        <v>29</v>
      </c>
      <c r="O21" s="46" t="s">
        <v>29</v>
      </c>
      <c r="P21" s="46" t="s">
        <v>29</v>
      </c>
      <c r="Q21" s="46" t="s">
        <v>29</v>
      </c>
      <c r="R21" s="42" t="s">
        <v>29</v>
      </c>
      <c r="S21" s="42" t="s">
        <v>29</v>
      </c>
      <c r="T21" s="42" t="s">
        <v>29</v>
      </c>
      <c r="U21" s="42" t="s">
        <v>29</v>
      </c>
      <c r="V21" s="44"/>
      <c r="W21" s="44"/>
      <c r="X21" s="86" t="s">
        <v>29</v>
      </c>
      <c r="Y21" s="86" t="s">
        <v>29</v>
      </c>
      <c r="Z21" s="44"/>
      <c r="AA21" s="44"/>
      <c r="AB21" s="304" t="s">
        <v>29</v>
      </c>
      <c r="AC21" s="304" t="s">
        <v>29</v>
      </c>
      <c r="AD21" s="99">
        <v>85</v>
      </c>
      <c r="AE21" s="99" t="str">
        <f t="shared" si="13"/>
        <v>A</v>
      </c>
      <c r="AF21" s="100">
        <f t="shared" si="14"/>
        <v>85</v>
      </c>
      <c r="AG21" s="101">
        <f t="shared" si="15"/>
        <v>7.08333333333333</v>
      </c>
      <c r="AH21" s="100">
        <f t="shared" si="16"/>
        <v>26</v>
      </c>
      <c r="AI21" s="36">
        <f t="shared" si="17"/>
        <v>1</v>
      </c>
      <c r="AJ21" s="36">
        <f t="shared" si="0"/>
        <v>0</v>
      </c>
      <c r="AK21" s="36">
        <f t="shared" si="1"/>
        <v>0</v>
      </c>
      <c r="AL21" s="36">
        <f t="shared" si="2"/>
        <v>0</v>
      </c>
      <c r="AM21" s="36">
        <f t="shared" si="18"/>
        <v>0</v>
      </c>
      <c r="AN21" s="37">
        <f t="shared" si="19"/>
        <v>11</v>
      </c>
    </row>
    <row r="22" ht="16.15" customHeight="1" spans="1:40">
      <c r="A22" s="39">
        <v>15</v>
      </c>
      <c r="B22" s="276" t="s">
        <v>157</v>
      </c>
      <c r="C22" s="236" t="s">
        <v>143</v>
      </c>
      <c r="D22" s="41">
        <v>69</v>
      </c>
      <c r="E22" s="29" t="str">
        <f t="shared" si="3"/>
        <v>B</v>
      </c>
      <c r="F22" s="41">
        <v>25</v>
      </c>
      <c r="G22" s="49" t="str">
        <f t="shared" si="4"/>
        <v>W</v>
      </c>
      <c r="H22" s="41">
        <v>80</v>
      </c>
      <c r="I22" s="41" t="str">
        <f t="shared" ref="I22:I34" si="23">IF(H22&gt;=75,"A",IF(H22&gt;=65,"B",IF(H22&gt;=50,"C",IF(H22&gt;=40,"S","W"))))</f>
        <v>A</v>
      </c>
      <c r="J22" s="41">
        <v>72</v>
      </c>
      <c r="K22" s="41" t="str">
        <f t="shared" si="6"/>
        <v>B</v>
      </c>
      <c r="L22" s="41">
        <v>70</v>
      </c>
      <c r="M22" s="41" t="str">
        <f t="shared" si="20"/>
        <v>B</v>
      </c>
      <c r="N22" s="49">
        <v>59</v>
      </c>
      <c r="O22" s="293" t="str">
        <f t="shared" si="7"/>
        <v>C</v>
      </c>
      <c r="P22" s="43">
        <v>73</v>
      </c>
      <c r="Q22" s="43" t="str">
        <f t="shared" si="8"/>
        <v>B</v>
      </c>
      <c r="R22" s="43">
        <v>46</v>
      </c>
      <c r="S22" s="43" t="str">
        <f t="shared" si="9"/>
        <v>S</v>
      </c>
      <c r="T22" s="43">
        <v>73</v>
      </c>
      <c r="U22" s="43" t="str">
        <f t="shared" si="10"/>
        <v>B</v>
      </c>
      <c r="V22" s="44">
        <v>87</v>
      </c>
      <c r="W22" s="44" t="str">
        <f t="shared" si="11"/>
        <v>A</v>
      </c>
      <c r="X22" s="44"/>
      <c r="Y22" s="44"/>
      <c r="Z22" s="44"/>
      <c r="AA22" s="44"/>
      <c r="AB22" s="99">
        <v>87</v>
      </c>
      <c r="AC22" s="99" t="str">
        <f t="shared" si="12"/>
        <v>A</v>
      </c>
      <c r="AD22" s="99">
        <v>95</v>
      </c>
      <c r="AE22" s="99" t="str">
        <f t="shared" si="13"/>
        <v>A</v>
      </c>
      <c r="AF22" s="100">
        <f t="shared" si="14"/>
        <v>836</v>
      </c>
      <c r="AG22" s="101">
        <f t="shared" si="15"/>
        <v>69.6666666666667</v>
      </c>
      <c r="AH22" s="100">
        <f t="shared" si="16"/>
        <v>3</v>
      </c>
      <c r="AI22" s="36">
        <f t="shared" si="17"/>
        <v>4</v>
      </c>
      <c r="AJ22" s="36">
        <f t="shared" si="0"/>
        <v>5</v>
      </c>
      <c r="AK22" s="36">
        <f t="shared" si="1"/>
        <v>1</v>
      </c>
      <c r="AL22" s="36">
        <f t="shared" si="2"/>
        <v>1</v>
      </c>
      <c r="AM22" s="36">
        <f t="shared" si="18"/>
        <v>1</v>
      </c>
      <c r="AN22" s="37">
        <f t="shared" si="19"/>
        <v>0</v>
      </c>
    </row>
    <row r="23" ht="16.15" customHeight="1" spans="1:40">
      <c r="A23" s="24">
        <v>16</v>
      </c>
      <c r="B23" s="276" t="s">
        <v>158</v>
      </c>
      <c r="C23" s="236" t="s">
        <v>143</v>
      </c>
      <c r="D23" s="41">
        <v>54</v>
      </c>
      <c r="E23" s="29" t="str">
        <f t="shared" si="3"/>
        <v>C</v>
      </c>
      <c r="F23" s="41">
        <v>8</v>
      </c>
      <c r="G23" s="49" t="str">
        <f t="shared" si="4"/>
        <v>W</v>
      </c>
      <c r="H23" s="41">
        <v>55</v>
      </c>
      <c r="I23" s="41" t="str">
        <f t="shared" si="23"/>
        <v>C</v>
      </c>
      <c r="J23" s="41">
        <v>23</v>
      </c>
      <c r="K23" s="41" t="str">
        <f t="shared" si="6"/>
        <v>W</v>
      </c>
      <c r="L23" s="41">
        <v>45</v>
      </c>
      <c r="M23" s="41" t="str">
        <f t="shared" si="20"/>
        <v>S</v>
      </c>
      <c r="N23" s="49">
        <v>39</v>
      </c>
      <c r="O23" s="293" t="str">
        <f t="shared" si="7"/>
        <v>W</v>
      </c>
      <c r="P23" s="43">
        <v>66</v>
      </c>
      <c r="Q23" s="43" t="str">
        <f t="shared" si="8"/>
        <v>B</v>
      </c>
      <c r="R23" s="43">
        <v>29</v>
      </c>
      <c r="S23" s="43" t="str">
        <f t="shared" si="9"/>
        <v>W</v>
      </c>
      <c r="T23" s="43">
        <v>23</v>
      </c>
      <c r="U23" s="43" t="str">
        <f t="shared" si="10"/>
        <v>W</v>
      </c>
      <c r="V23" s="44">
        <v>53</v>
      </c>
      <c r="W23" s="44" t="str">
        <f t="shared" si="11"/>
        <v>C</v>
      </c>
      <c r="X23" s="44"/>
      <c r="Y23" s="44"/>
      <c r="Z23" s="44"/>
      <c r="AA23" s="44"/>
      <c r="AB23" s="99">
        <v>50</v>
      </c>
      <c r="AC23" s="99" t="str">
        <f t="shared" si="12"/>
        <v>C</v>
      </c>
      <c r="AD23" s="99">
        <v>95</v>
      </c>
      <c r="AE23" s="99" t="str">
        <f t="shared" si="13"/>
        <v>A</v>
      </c>
      <c r="AF23" s="100">
        <f t="shared" si="14"/>
        <v>540</v>
      </c>
      <c r="AG23" s="101">
        <f t="shared" si="15"/>
        <v>45</v>
      </c>
      <c r="AH23" s="100">
        <f t="shared" si="16"/>
        <v>9</v>
      </c>
      <c r="AI23" s="36">
        <f t="shared" si="17"/>
        <v>1</v>
      </c>
      <c r="AJ23" s="36">
        <f t="shared" si="0"/>
        <v>1</v>
      </c>
      <c r="AK23" s="36">
        <f t="shared" si="1"/>
        <v>4</v>
      </c>
      <c r="AL23" s="36">
        <f t="shared" si="2"/>
        <v>1</v>
      </c>
      <c r="AM23" s="36">
        <f t="shared" si="18"/>
        <v>5</v>
      </c>
      <c r="AN23" s="37">
        <f t="shared" si="19"/>
        <v>0</v>
      </c>
    </row>
    <row r="24" ht="16.15" customHeight="1" spans="1:40">
      <c r="A24" s="39">
        <v>17</v>
      </c>
      <c r="B24" s="276" t="s">
        <v>159</v>
      </c>
      <c r="C24" s="236" t="s">
        <v>143</v>
      </c>
      <c r="D24" s="41">
        <v>91</v>
      </c>
      <c r="E24" s="29" t="str">
        <f t="shared" si="3"/>
        <v>A</v>
      </c>
      <c r="F24" s="41">
        <v>30</v>
      </c>
      <c r="G24" s="49" t="str">
        <f t="shared" si="4"/>
        <v>W</v>
      </c>
      <c r="H24" s="41">
        <v>82</v>
      </c>
      <c r="I24" s="41" t="str">
        <f t="shared" si="23"/>
        <v>A</v>
      </c>
      <c r="J24" s="41">
        <v>56</v>
      </c>
      <c r="K24" s="41" t="str">
        <f t="shared" si="6"/>
        <v>C</v>
      </c>
      <c r="L24" s="41">
        <v>77</v>
      </c>
      <c r="M24" s="41" t="str">
        <f t="shared" si="20"/>
        <v>A</v>
      </c>
      <c r="N24" s="41">
        <v>90</v>
      </c>
      <c r="O24" s="293" t="str">
        <f t="shared" si="7"/>
        <v>A</v>
      </c>
      <c r="P24" s="43">
        <v>81</v>
      </c>
      <c r="Q24" s="43" t="str">
        <f t="shared" si="8"/>
        <v>A</v>
      </c>
      <c r="R24" s="43">
        <v>73</v>
      </c>
      <c r="S24" s="43" t="str">
        <f t="shared" si="9"/>
        <v>B</v>
      </c>
      <c r="T24" s="43">
        <v>40</v>
      </c>
      <c r="U24" s="43" t="str">
        <f t="shared" si="10"/>
        <v>S</v>
      </c>
      <c r="V24" s="44">
        <v>90</v>
      </c>
      <c r="W24" s="44" t="str">
        <f t="shared" si="11"/>
        <v>A</v>
      </c>
      <c r="X24" s="44"/>
      <c r="Y24" s="44"/>
      <c r="Z24" s="44"/>
      <c r="AA24" s="44"/>
      <c r="AB24" s="99">
        <v>81</v>
      </c>
      <c r="AC24" s="99" t="str">
        <f t="shared" si="12"/>
        <v>A</v>
      </c>
      <c r="AD24" s="99">
        <v>95</v>
      </c>
      <c r="AE24" s="99" t="str">
        <f t="shared" si="13"/>
        <v>A</v>
      </c>
      <c r="AF24" s="100">
        <f t="shared" si="14"/>
        <v>886</v>
      </c>
      <c r="AG24" s="101">
        <f t="shared" si="15"/>
        <v>73.8333333333333</v>
      </c>
      <c r="AH24" s="100">
        <f t="shared" si="16"/>
        <v>1</v>
      </c>
      <c r="AI24" s="36">
        <f t="shared" si="17"/>
        <v>8</v>
      </c>
      <c r="AJ24" s="36">
        <f t="shared" si="0"/>
        <v>1</v>
      </c>
      <c r="AK24" s="36">
        <f t="shared" si="1"/>
        <v>1</v>
      </c>
      <c r="AL24" s="36">
        <f t="shared" si="2"/>
        <v>1</v>
      </c>
      <c r="AM24" s="36">
        <f t="shared" si="18"/>
        <v>1</v>
      </c>
      <c r="AN24" s="37">
        <f t="shared" si="19"/>
        <v>0</v>
      </c>
    </row>
    <row r="25" ht="16.15" customHeight="1" spans="1:40">
      <c r="A25" s="24">
        <v>18</v>
      </c>
      <c r="B25" s="276" t="s">
        <v>160</v>
      </c>
      <c r="C25" s="236" t="s">
        <v>143</v>
      </c>
      <c r="D25" s="41">
        <v>69</v>
      </c>
      <c r="E25" s="29" t="str">
        <f t="shared" si="3"/>
        <v>B</v>
      </c>
      <c r="F25" s="41">
        <v>34</v>
      </c>
      <c r="G25" s="49" t="str">
        <f t="shared" si="4"/>
        <v>W</v>
      </c>
      <c r="H25" s="41">
        <v>68</v>
      </c>
      <c r="I25" s="41" t="str">
        <f t="shared" si="23"/>
        <v>B</v>
      </c>
      <c r="J25" s="41">
        <v>58</v>
      </c>
      <c r="K25" s="41" t="str">
        <f t="shared" si="6"/>
        <v>C</v>
      </c>
      <c r="L25" s="49">
        <v>63</v>
      </c>
      <c r="M25" s="41" t="str">
        <f t="shared" si="20"/>
        <v>C</v>
      </c>
      <c r="N25" s="41">
        <v>55</v>
      </c>
      <c r="O25" s="293" t="str">
        <f t="shared" si="7"/>
        <v>C</v>
      </c>
      <c r="P25" s="43">
        <v>75</v>
      </c>
      <c r="Q25" s="43" t="str">
        <f t="shared" si="8"/>
        <v>A</v>
      </c>
      <c r="R25" s="43">
        <v>23</v>
      </c>
      <c r="S25" s="43" t="str">
        <f t="shared" si="9"/>
        <v>W</v>
      </c>
      <c r="T25" s="43">
        <v>41</v>
      </c>
      <c r="U25" s="43" t="str">
        <f t="shared" si="10"/>
        <v>S</v>
      </c>
      <c r="V25" s="44">
        <v>73</v>
      </c>
      <c r="W25" s="44" t="str">
        <f t="shared" si="11"/>
        <v>B</v>
      </c>
      <c r="X25" s="44"/>
      <c r="Y25" s="44"/>
      <c r="Z25" s="44"/>
      <c r="AA25" s="44"/>
      <c r="AB25" s="99">
        <v>72</v>
      </c>
      <c r="AC25" s="99" t="str">
        <f t="shared" si="12"/>
        <v>B</v>
      </c>
      <c r="AD25" s="99">
        <v>95</v>
      </c>
      <c r="AE25" s="99" t="str">
        <f t="shared" si="13"/>
        <v>A</v>
      </c>
      <c r="AF25" s="100">
        <f t="shared" si="14"/>
        <v>726</v>
      </c>
      <c r="AG25" s="101">
        <f t="shared" si="15"/>
        <v>60.5</v>
      </c>
      <c r="AH25" s="100">
        <f t="shared" si="16"/>
        <v>6</v>
      </c>
      <c r="AI25" s="36">
        <f t="shared" si="17"/>
        <v>2</v>
      </c>
      <c r="AJ25" s="36">
        <f t="shared" si="0"/>
        <v>4</v>
      </c>
      <c r="AK25" s="36">
        <f t="shared" si="1"/>
        <v>3</v>
      </c>
      <c r="AL25" s="36">
        <f t="shared" si="2"/>
        <v>1</v>
      </c>
      <c r="AM25" s="36">
        <f t="shared" si="18"/>
        <v>2</v>
      </c>
      <c r="AN25" s="37">
        <f t="shared" si="19"/>
        <v>0</v>
      </c>
    </row>
    <row r="26" ht="16.15" customHeight="1" spans="1:40">
      <c r="A26" s="39">
        <v>19</v>
      </c>
      <c r="B26" s="276" t="s">
        <v>161</v>
      </c>
      <c r="C26" s="236" t="s">
        <v>143</v>
      </c>
      <c r="D26" s="41">
        <v>34</v>
      </c>
      <c r="E26" s="29" t="str">
        <f t="shared" si="3"/>
        <v>W</v>
      </c>
      <c r="F26" s="41">
        <v>22</v>
      </c>
      <c r="G26" s="49" t="str">
        <f t="shared" si="4"/>
        <v>W</v>
      </c>
      <c r="H26" s="41">
        <v>45</v>
      </c>
      <c r="I26" s="41" t="str">
        <f t="shared" si="23"/>
        <v>S</v>
      </c>
      <c r="J26" s="41">
        <v>26</v>
      </c>
      <c r="K26" s="41" t="str">
        <f t="shared" si="6"/>
        <v>W</v>
      </c>
      <c r="L26" s="41">
        <v>28</v>
      </c>
      <c r="M26" s="41" t="str">
        <f t="shared" si="20"/>
        <v>W</v>
      </c>
      <c r="N26" s="41">
        <v>21</v>
      </c>
      <c r="O26" s="293" t="str">
        <f t="shared" si="7"/>
        <v>W</v>
      </c>
      <c r="P26" s="309">
        <v>38</v>
      </c>
      <c r="Q26" s="43" t="str">
        <f t="shared" si="8"/>
        <v>W</v>
      </c>
      <c r="R26" s="43">
        <v>20</v>
      </c>
      <c r="S26" s="43" t="str">
        <f t="shared" si="9"/>
        <v>W</v>
      </c>
      <c r="T26" s="43">
        <v>32</v>
      </c>
      <c r="U26" s="43" t="str">
        <f t="shared" si="10"/>
        <v>W</v>
      </c>
      <c r="V26" s="44"/>
      <c r="W26" s="44"/>
      <c r="X26" s="86" t="s">
        <v>29</v>
      </c>
      <c r="Y26" s="86" t="s">
        <v>29</v>
      </c>
      <c r="Z26" s="44"/>
      <c r="AA26" s="44"/>
      <c r="AB26" s="99">
        <v>52</v>
      </c>
      <c r="AC26" s="99" t="str">
        <f t="shared" si="12"/>
        <v>C</v>
      </c>
      <c r="AD26" s="99">
        <v>75</v>
      </c>
      <c r="AE26" s="99" t="str">
        <f t="shared" si="13"/>
        <v>A</v>
      </c>
      <c r="AF26" s="100">
        <f t="shared" si="14"/>
        <v>393</v>
      </c>
      <c r="AG26" s="101">
        <f t="shared" si="15"/>
        <v>32.75</v>
      </c>
      <c r="AH26" s="100">
        <f t="shared" si="16"/>
        <v>17</v>
      </c>
      <c r="AI26" s="36">
        <f t="shared" si="17"/>
        <v>1</v>
      </c>
      <c r="AJ26" s="36">
        <f t="shared" si="0"/>
        <v>0</v>
      </c>
      <c r="AK26" s="36">
        <f t="shared" si="1"/>
        <v>1</v>
      </c>
      <c r="AL26" s="36">
        <f t="shared" si="2"/>
        <v>1</v>
      </c>
      <c r="AM26" s="36">
        <f t="shared" si="18"/>
        <v>8</v>
      </c>
      <c r="AN26" s="37">
        <f t="shared" si="19"/>
        <v>1</v>
      </c>
    </row>
    <row r="27" ht="16.15" customHeight="1" spans="1:40">
      <c r="A27" s="24">
        <v>20</v>
      </c>
      <c r="B27" s="276" t="s">
        <v>162</v>
      </c>
      <c r="C27" s="236" t="s">
        <v>143</v>
      </c>
      <c r="D27" s="41">
        <v>40</v>
      </c>
      <c r="E27" s="29" t="str">
        <f t="shared" si="3"/>
        <v>S</v>
      </c>
      <c r="F27" s="41">
        <v>11</v>
      </c>
      <c r="G27" s="49" t="str">
        <f t="shared" si="4"/>
        <v>W</v>
      </c>
      <c r="H27" s="41">
        <v>30</v>
      </c>
      <c r="I27" s="41" t="str">
        <f t="shared" si="23"/>
        <v>W</v>
      </c>
      <c r="J27" s="41">
        <v>32</v>
      </c>
      <c r="K27" s="41" t="str">
        <f t="shared" si="6"/>
        <v>W</v>
      </c>
      <c r="L27" s="41">
        <v>37</v>
      </c>
      <c r="M27" s="41" t="str">
        <f t="shared" si="20"/>
        <v>W</v>
      </c>
      <c r="N27" s="41">
        <v>24</v>
      </c>
      <c r="O27" s="293" t="str">
        <f t="shared" si="7"/>
        <v>W</v>
      </c>
      <c r="P27" s="43">
        <v>37</v>
      </c>
      <c r="Q27" s="43" t="str">
        <f t="shared" si="8"/>
        <v>W</v>
      </c>
      <c r="R27" s="43">
        <v>22</v>
      </c>
      <c r="S27" s="43" t="str">
        <f t="shared" si="9"/>
        <v>W</v>
      </c>
      <c r="T27" s="43">
        <v>19</v>
      </c>
      <c r="U27" s="43" t="str">
        <f t="shared" si="10"/>
        <v>W</v>
      </c>
      <c r="V27" s="44"/>
      <c r="W27" s="44"/>
      <c r="X27" s="44">
        <v>60</v>
      </c>
      <c r="Y27" s="44" t="str">
        <f t="shared" si="21"/>
        <v>C</v>
      </c>
      <c r="Z27" s="44"/>
      <c r="AA27" s="44"/>
      <c r="AB27" s="99">
        <v>55</v>
      </c>
      <c r="AC27" s="99" t="str">
        <f t="shared" si="12"/>
        <v>C</v>
      </c>
      <c r="AD27" s="99">
        <v>75</v>
      </c>
      <c r="AE27" s="99" t="str">
        <f t="shared" si="13"/>
        <v>A</v>
      </c>
      <c r="AF27" s="100">
        <f t="shared" si="14"/>
        <v>442</v>
      </c>
      <c r="AG27" s="101">
        <f t="shared" si="15"/>
        <v>36.8333333333333</v>
      </c>
      <c r="AH27" s="100">
        <f t="shared" si="16"/>
        <v>13</v>
      </c>
      <c r="AI27" s="36">
        <f t="shared" si="17"/>
        <v>1</v>
      </c>
      <c r="AJ27" s="36">
        <f t="shared" si="0"/>
        <v>0</v>
      </c>
      <c r="AK27" s="36">
        <f t="shared" si="1"/>
        <v>2</v>
      </c>
      <c r="AL27" s="36">
        <f t="shared" si="2"/>
        <v>1</v>
      </c>
      <c r="AM27" s="36">
        <f t="shared" si="18"/>
        <v>8</v>
      </c>
      <c r="AN27" s="37">
        <f t="shared" si="19"/>
        <v>0</v>
      </c>
    </row>
    <row r="28" ht="16.15" customHeight="1" spans="1:40">
      <c r="A28" s="39">
        <v>21</v>
      </c>
      <c r="B28" s="276" t="s">
        <v>163</v>
      </c>
      <c r="C28" s="236" t="s">
        <v>143</v>
      </c>
      <c r="D28" s="41">
        <v>81</v>
      </c>
      <c r="E28" s="29" t="str">
        <f t="shared" si="3"/>
        <v>A</v>
      </c>
      <c r="F28" s="41">
        <v>31</v>
      </c>
      <c r="G28" s="49" t="str">
        <f t="shared" si="4"/>
        <v>W</v>
      </c>
      <c r="H28" s="41">
        <v>75</v>
      </c>
      <c r="I28" s="41" t="str">
        <f t="shared" si="23"/>
        <v>A</v>
      </c>
      <c r="J28" s="41">
        <v>68</v>
      </c>
      <c r="K28" s="41" t="str">
        <f t="shared" si="6"/>
        <v>B</v>
      </c>
      <c r="L28" s="49">
        <v>82</v>
      </c>
      <c r="M28" s="41" t="str">
        <f t="shared" si="20"/>
        <v>A</v>
      </c>
      <c r="N28" s="41">
        <v>83</v>
      </c>
      <c r="O28" s="293" t="str">
        <f t="shared" si="7"/>
        <v>A</v>
      </c>
      <c r="P28" s="309">
        <v>79</v>
      </c>
      <c r="Q28" s="43" t="str">
        <f t="shared" si="8"/>
        <v>A</v>
      </c>
      <c r="R28" s="43">
        <v>50</v>
      </c>
      <c r="S28" s="43" t="str">
        <f t="shared" si="9"/>
        <v>C</v>
      </c>
      <c r="T28" s="43">
        <v>40</v>
      </c>
      <c r="U28" s="43" t="str">
        <f t="shared" si="10"/>
        <v>S</v>
      </c>
      <c r="V28" s="44"/>
      <c r="W28" s="44"/>
      <c r="X28" s="44">
        <v>96</v>
      </c>
      <c r="Y28" s="44" t="str">
        <f t="shared" si="21"/>
        <v>A</v>
      </c>
      <c r="Z28" s="44"/>
      <c r="AA28" s="44"/>
      <c r="AB28" s="99">
        <v>74</v>
      </c>
      <c r="AC28" s="99" t="str">
        <f t="shared" si="12"/>
        <v>B</v>
      </c>
      <c r="AD28" s="99">
        <v>78</v>
      </c>
      <c r="AE28" s="99" t="str">
        <f t="shared" si="13"/>
        <v>A</v>
      </c>
      <c r="AF28" s="100">
        <f t="shared" si="14"/>
        <v>837</v>
      </c>
      <c r="AG28" s="101">
        <f t="shared" si="15"/>
        <v>69.75</v>
      </c>
      <c r="AH28" s="100">
        <f t="shared" si="16"/>
        <v>2</v>
      </c>
      <c r="AI28" s="36">
        <f t="shared" si="17"/>
        <v>7</v>
      </c>
      <c r="AJ28" s="36">
        <f t="shared" si="0"/>
        <v>2</v>
      </c>
      <c r="AK28" s="36">
        <f t="shared" si="1"/>
        <v>1</v>
      </c>
      <c r="AL28" s="36">
        <f t="shared" si="2"/>
        <v>1</v>
      </c>
      <c r="AM28" s="36">
        <f t="shared" si="18"/>
        <v>1</v>
      </c>
      <c r="AN28" s="37">
        <f t="shared" si="19"/>
        <v>0</v>
      </c>
    </row>
    <row r="29" ht="16.15" customHeight="1" spans="1:40">
      <c r="A29" s="24">
        <v>22</v>
      </c>
      <c r="B29" s="276" t="s">
        <v>164</v>
      </c>
      <c r="C29" s="236" t="s">
        <v>143</v>
      </c>
      <c r="D29" s="41">
        <v>58</v>
      </c>
      <c r="E29" s="29" t="str">
        <f t="shared" si="3"/>
        <v>C</v>
      </c>
      <c r="F29" s="41">
        <v>38</v>
      </c>
      <c r="G29" s="49" t="str">
        <f t="shared" si="4"/>
        <v>W</v>
      </c>
      <c r="H29" s="41">
        <v>70</v>
      </c>
      <c r="I29" s="41" t="str">
        <f t="shared" si="23"/>
        <v>B</v>
      </c>
      <c r="J29" s="41">
        <v>78</v>
      </c>
      <c r="K29" s="41" t="str">
        <f t="shared" si="6"/>
        <v>A</v>
      </c>
      <c r="L29" s="41">
        <v>62</v>
      </c>
      <c r="M29" s="41" t="str">
        <f t="shared" si="20"/>
        <v>C</v>
      </c>
      <c r="N29" s="41">
        <v>64</v>
      </c>
      <c r="O29" s="293" t="str">
        <f t="shared" si="7"/>
        <v>C</v>
      </c>
      <c r="P29" s="309">
        <v>76</v>
      </c>
      <c r="Q29" s="43" t="str">
        <f t="shared" si="8"/>
        <v>A</v>
      </c>
      <c r="R29" s="43">
        <v>56</v>
      </c>
      <c r="S29" s="43" t="str">
        <f t="shared" si="9"/>
        <v>C</v>
      </c>
      <c r="T29" s="43">
        <v>40</v>
      </c>
      <c r="U29" s="43" t="str">
        <f t="shared" si="10"/>
        <v>S</v>
      </c>
      <c r="V29" s="44"/>
      <c r="W29" s="44"/>
      <c r="X29" s="44">
        <v>87</v>
      </c>
      <c r="Y29" s="44" t="str">
        <f t="shared" si="21"/>
        <v>A</v>
      </c>
      <c r="Z29" s="44"/>
      <c r="AA29" s="44"/>
      <c r="AB29" s="99">
        <v>80</v>
      </c>
      <c r="AC29" s="99" t="str">
        <f t="shared" si="12"/>
        <v>A</v>
      </c>
      <c r="AD29" s="99">
        <v>70</v>
      </c>
      <c r="AE29" s="99" t="str">
        <f t="shared" si="13"/>
        <v>B</v>
      </c>
      <c r="AF29" s="100">
        <f t="shared" si="14"/>
        <v>779</v>
      </c>
      <c r="AG29" s="101">
        <f t="shared" si="15"/>
        <v>64.9166666666667</v>
      </c>
      <c r="AH29" s="100">
        <f t="shared" si="16"/>
        <v>5</v>
      </c>
      <c r="AI29" s="36">
        <f t="shared" si="17"/>
        <v>4</v>
      </c>
      <c r="AJ29" s="36">
        <f t="shared" si="0"/>
        <v>2</v>
      </c>
      <c r="AK29" s="36">
        <f t="shared" si="1"/>
        <v>4</v>
      </c>
      <c r="AL29" s="36">
        <f t="shared" si="2"/>
        <v>1</v>
      </c>
      <c r="AM29" s="36">
        <f t="shared" si="18"/>
        <v>1</v>
      </c>
      <c r="AN29" s="37">
        <f t="shared" si="19"/>
        <v>0</v>
      </c>
    </row>
    <row r="30" ht="16.15" customHeight="1" spans="1:40">
      <c r="A30" s="39">
        <v>23</v>
      </c>
      <c r="B30" s="276" t="s">
        <v>165</v>
      </c>
      <c r="C30" s="236" t="s">
        <v>143</v>
      </c>
      <c r="D30" s="41">
        <v>30</v>
      </c>
      <c r="E30" s="29" t="str">
        <f t="shared" si="3"/>
        <v>W</v>
      </c>
      <c r="F30" s="41">
        <v>2</v>
      </c>
      <c r="G30" s="49" t="str">
        <f t="shared" si="4"/>
        <v>W</v>
      </c>
      <c r="H30" s="41">
        <v>33</v>
      </c>
      <c r="I30" s="41" t="str">
        <f t="shared" si="23"/>
        <v>W</v>
      </c>
      <c r="J30" s="41">
        <v>18</v>
      </c>
      <c r="K30" s="41" t="str">
        <f t="shared" si="6"/>
        <v>W</v>
      </c>
      <c r="L30" s="41">
        <v>17</v>
      </c>
      <c r="M30" s="41" t="str">
        <f t="shared" si="20"/>
        <v>W</v>
      </c>
      <c r="N30" s="41">
        <v>38</v>
      </c>
      <c r="O30" s="293" t="str">
        <f t="shared" si="7"/>
        <v>W</v>
      </c>
      <c r="P30" s="43">
        <v>27</v>
      </c>
      <c r="Q30" s="43" t="str">
        <f t="shared" si="8"/>
        <v>W</v>
      </c>
      <c r="R30" s="43">
        <v>24</v>
      </c>
      <c r="S30" s="43" t="str">
        <f t="shared" si="9"/>
        <v>W</v>
      </c>
      <c r="T30" s="43">
        <v>15</v>
      </c>
      <c r="U30" s="43" t="str">
        <f t="shared" si="10"/>
        <v>W</v>
      </c>
      <c r="V30" s="44">
        <v>52</v>
      </c>
      <c r="W30" s="44" t="str">
        <f t="shared" si="11"/>
        <v>C</v>
      </c>
      <c r="X30" s="44"/>
      <c r="Y30" s="44"/>
      <c r="Z30" s="86"/>
      <c r="AA30" s="44"/>
      <c r="AB30" s="99">
        <v>33</v>
      </c>
      <c r="AC30" s="99" t="str">
        <f t="shared" si="12"/>
        <v>W</v>
      </c>
      <c r="AD30" s="99">
        <v>50</v>
      </c>
      <c r="AE30" s="99" t="str">
        <f t="shared" si="13"/>
        <v>C</v>
      </c>
      <c r="AF30" s="100">
        <f t="shared" si="14"/>
        <v>339</v>
      </c>
      <c r="AG30" s="101">
        <f t="shared" si="15"/>
        <v>28.25</v>
      </c>
      <c r="AH30" s="100">
        <f t="shared" si="16"/>
        <v>20</v>
      </c>
      <c r="AI30" s="36">
        <f t="shared" si="17"/>
        <v>0</v>
      </c>
      <c r="AJ30" s="36">
        <f t="shared" si="0"/>
        <v>0</v>
      </c>
      <c r="AK30" s="36">
        <f t="shared" si="1"/>
        <v>2</v>
      </c>
      <c r="AL30" s="36">
        <f t="shared" si="2"/>
        <v>0</v>
      </c>
      <c r="AM30" s="36">
        <f t="shared" si="18"/>
        <v>10</v>
      </c>
      <c r="AN30" s="37">
        <f t="shared" si="19"/>
        <v>0</v>
      </c>
    </row>
    <row r="31" ht="16.15" customHeight="1" spans="1:40">
      <c r="A31" s="24">
        <v>24</v>
      </c>
      <c r="B31" s="276" t="s">
        <v>166</v>
      </c>
      <c r="C31" s="236" t="s">
        <v>143</v>
      </c>
      <c r="D31" s="41">
        <v>78</v>
      </c>
      <c r="E31" s="29" t="str">
        <f t="shared" si="3"/>
        <v>A</v>
      </c>
      <c r="F31" s="41">
        <v>33</v>
      </c>
      <c r="G31" s="49" t="str">
        <f t="shared" si="4"/>
        <v>W</v>
      </c>
      <c r="H31" s="41">
        <v>60</v>
      </c>
      <c r="I31" s="41" t="str">
        <f t="shared" si="23"/>
        <v>C</v>
      </c>
      <c r="J31" s="41">
        <v>67</v>
      </c>
      <c r="K31" s="41" t="str">
        <f t="shared" si="6"/>
        <v>B</v>
      </c>
      <c r="L31" s="41">
        <v>68</v>
      </c>
      <c r="M31" s="41" t="str">
        <f t="shared" si="20"/>
        <v>B</v>
      </c>
      <c r="N31" s="41">
        <v>70</v>
      </c>
      <c r="O31" s="293" t="str">
        <f t="shared" si="7"/>
        <v>B</v>
      </c>
      <c r="P31" s="43">
        <v>71</v>
      </c>
      <c r="Q31" s="43" t="str">
        <f t="shared" si="8"/>
        <v>B</v>
      </c>
      <c r="R31" s="43">
        <v>42</v>
      </c>
      <c r="S31" s="43" t="str">
        <f t="shared" si="9"/>
        <v>S</v>
      </c>
      <c r="T31" s="43">
        <v>18</v>
      </c>
      <c r="U31" s="43" t="str">
        <f t="shared" si="10"/>
        <v>W</v>
      </c>
      <c r="V31" s="44">
        <v>46</v>
      </c>
      <c r="W31" s="44" t="str">
        <f t="shared" si="11"/>
        <v>S</v>
      </c>
      <c r="X31" s="44"/>
      <c r="Y31" s="44"/>
      <c r="Z31" s="44"/>
      <c r="AA31" s="44"/>
      <c r="AB31" s="99">
        <v>60</v>
      </c>
      <c r="AC31" s="99" t="str">
        <f t="shared" si="12"/>
        <v>C</v>
      </c>
      <c r="AD31" s="99">
        <v>80</v>
      </c>
      <c r="AE31" s="99" t="str">
        <f t="shared" si="13"/>
        <v>A</v>
      </c>
      <c r="AF31" s="100">
        <f t="shared" si="14"/>
        <v>693</v>
      </c>
      <c r="AG31" s="101">
        <f t="shared" si="15"/>
        <v>57.75</v>
      </c>
      <c r="AH31" s="100">
        <f t="shared" si="16"/>
        <v>8</v>
      </c>
      <c r="AI31" s="36">
        <f t="shared" si="17"/>
        <v>2</v>
      </c>
      <c r="AJ31" s="36">
        <f t="shared" si="0"/>
        <v>4</v>
      </c>
      <c r="AK31" s="36">
        <f t="shared" si="1"/>
        <v>2</v>
      </c>
      <c r="AL31" s="36">
        <f t="shared" si="2"/>
        <v>2</v>
      </c>
      <c r="AM31" s="36">
        <f t="shared" si="18"/>
        <v>2</v>
      </c>
      <c r="AN31" s="37">
        <f t="shared" si="19"/>
        <v>0</v>
      </c>
    </row>
    <row r="32" ht="16.15" customHeight="1" spans="1:40">
      <c r="A32" s="39">
        <v>25</v>
      </c>
      <c r="B32" s="276" t="s">
        <v>167</v>
      </c>
      <c r="C32" s="236" t="s">
        <v>143</v>
      </c>
      <c r="D32" s="46" t="s">
        <v>29</v>
      </c>
      <c r="E32" s="46" t="s">
        <v>29</v>
      </c>
      <c r="F32" s="46" t="s">
        <v>29</v>
      </c>
      <c r="G32" s="46" t="s">
        <v>29</v>
      </c>
      <c r="H32" s="41">
        <v>44</v>
      </c>
      <c r="I32" s="41" t="str">
        <f t="shared" si="23"/>
        <v>S</v>
      </c>
      <c r="J32" s="41">
        <v>26</v>
      </c>
      <c r="K32" s="41" t="str">
        <f t="shared" si="6"/>
        <v>W</v>
      </c>
      <c r="L32" s="46" t="s">
        <v>29</v>
      </c>
      <c r="M32" s="46" t="s">
        <v>29</v>
      </c>
      <c r="N32" s="46" t="s">
        <v>29</v>
      </c>
      <c r="O32" s="46" t="s">
        <v>29</v>
      </c>
      <c r="P32" s="46" t="s">
        <v>29</v>
      </c>
      <c r="Q32" s="46" t="s">
        <v>29</v>
      </c>
      <c r="R32" s="46" t="s">
        <v>29</v>
      </c>
      <c r="S32" s="46" t="s">
        <v>29</v>
      </c>
      <c r="T32" s="46" t="s">
        <v>29</v>
      </c>
      <c r="U32" s="46" t="s">
        <v>29</v>
      </c>
      <c r="V32" s="44"/>
      <c r="W32" s="44"/>
      <c r="X32" s="86" t="s">
        <v>29</v>
      </c>
      <c r="Y32" s="86" t="s">
        <v>29</v>
      </c>
      <c r="Z32" s="44"/>
      <c r="AA32" s="44"/>
      <c r="AB32" s="304" t="s">
        <v>29</v>
      </c>
      <c r="AC32" s="304" t="s">
        <v>29</v>
      </c>
      <c r="AD32" s="99">
        <v>50</v>
      </c>
      <c r="AE32" s="99" t="str">
        <f t="shared" si="13"/>
        <v>C</v>
      </c>
      <c r="AF32" s="100">
        <f t="shared" si="14"/>
        <v>120</v>
      </c>
      <c r="AG32" s="101">
        <f t="shared" si="15"/>
        <v>10</v>
      </c>
      <c r="AH32" s="100">
        <f t="shared" si="16"/>
        <v>25</v>
      </c>
      <c r="AI32" s="36">
        <f t="shared" si="17"/>
        <v>0</v>
      </c>
      <c r="AJ32" s="36">
        <f t="shared" si="0"/>
        <v>0</v>
      </c>
      <c r="AK32" s="36">
        <f t="shared" si="1"/>
        <v>1</v>
      </c>
      <c r="AL32" s="36">
        <f t="shared" si="2"/>
        <v>1</v>
      </c>
      <c r="AM32" s="36">
        <f t="shared" si="18"/>
        <v>1</v>
      </c>
      <c r="AN32" s="37">
        <f t="shared" si="19"/>
        <v>9</v>
      </c>
    </row>
    <row r="33" ht="16.15" customHeight="1" spans="1:40">
      <c r="A33" s="24">
        <v>26</v>
      </c>
      <c r="B33" s="276" t="s">
        <v>168</v>
      </c>
      <c r="C33" s="236" t="s">
        <v>143</v>
      </c>
      <c r="D33" s="41">
        <v>31</v>
      </c>
      <c r="E33" s="29" t="str">
        <f t="shared" si="3"/>
        <v>W</v>
      </c>
      <c r="F33" s="41">
        <v>4</v>
      </c>
      <c r="G33" s="49" t="str">
        <f t="shared" si="4"/>
        <v>W</v>
      </c>
      <c r="H33" s="41">
        <v>20</v>
      </c>
      <c r="I33" s="41" t="str">
        <f t="shared" si="23"/>
        <v>W</v>
      </c>
      <c r="J33" s="41">
        <v>32</v>
      </c>
      <c r="K33" s="41" t="str">
        <f t="shared" si="6"/>
        <v>W</v>
      </c>
      <c r="L33" s="41">
        <v>19</v>
      </c>
      <c r="M33" s="41" t="str">
        <f t="shared" si="20"/>
        <v>W</v>
      </c>
      <c r="N33" s="41">
        <v>15</v>
      </c>
      <c r="O33" s="293" t="str">
        <f t="shared" si="7"/>
        <v>W</v>
      </c>
      <c r="P33" s="43">
        <v>27</v>
      </c>
      <c r="Q33" s="43" t="str">
        <f t="shared" si="8"/>
        <v>W</v>
      </c>
      <c r="R33" s="43">
        <v>30</v>
      </c>
      <c r="S33" s="43" t="str">
        <f t="shared" si="9"/>
        <v>W</v>
      </c>
      <c r="T33" s="43">
        <v>24</v>
      </c>
      <c r="U33" s="43" t="str">
        <f t="shared" si="10"/>
        <v>W</v>
      </c>
      <c r="V33" s="44"/>
      <c r="W33" s="44" t="str">
        <f t="shared" si="11"/>
        <v>W</v>
      </c>
      <c r="X33" s="44">
        <v>66</v>
      </c>
      <c r="Y33" s="44" t="str">
        <f t="shared" si="21"/>
        <v>B</v>
      </c>
      <c r="Z33" s="44"/>
      <c r="AA33" s="44"/>
      <c r="AB33" s="99">
        <v>57</v>
      </c>
      <c r="AC33" s="99" t="str">
        <f t="shared" si="12"/>
        <v>C</v>
      </c>
      <c r="AD33" s="99">
        <v>80</v>
      </c>
      <c r="AE33" s="99" t="str">
        <f t="shared" si="13"/>
        <v>A</v>
      </c>
      <c r="AF33" s="100">
        <f t="shared" si="14"/>
        <v>405</v>
      </c>
      <c r="AG33" s="101">
        <f t="shared" si="15"/>
        <v>33.75</v>
      </c>
      <c r="AH33" s="100">
        <f t="shared" si="16"/>
        <v>15</v>
      </c>
      <c r="AI33" s="36">
        <f t="shared" si="17"/>
        <v>1</v>
      </c>
      <c r="AJ33" s="36">
        <f t="shared" si="0"/>
        <v>1</v>
      </c>
      <c r="AK33" s="36">
        <f t="shared" si="1"/>
        <v>1</v>
      </c>
      <c r="AL33" s="36">
        <f t="shared" si="2"/>
        <v>0</v>
      </c>
      <c r="AM33" s="36">
        <f t="shared" si="18"/>
        <v>10</v>
      </c>
      <c r="AN33" s="37">
        <f t="shared" si="19"/>
        <v>0</v>
      </c>
    </row>
    <row r="34" ht="16.15" customHeight="1" spans="1:40">
      <c r="A34" s="39">
        <v>27</v>
      </c>
      <c r="B34" s="276" t="s">
        <v>169</v>
      </c>
      <c r="C34" s="236" t="s">
        <v>143</v>
      </c>
      <c r="D34" s="41">
        <v>66</v>
      </c>
      <c r="E34" s="29" t="str">
        <f t="shared" si="3"/>
        <v>B</v>
      </c>
      <c r="F34" s="41">
        <v>24</v>
      </c>
      <c r="G34" s="49" t="str">
        <f t="shared" si="4"/>
        <v>W</v>
      </c>
      <c r="H34" s="41">
        <v>69</v>
      </c>
      <c r="I34" s="41" t="str">
        <f t="shared" si="23"/>
        <v>B</v>
      </c>
      <c r="J34" s="41">
        <v>75</v>
      </c>
      <c r="K34" s="41" t="str">
        <f t="shared" si="6"/>
        <v>A</v>
      </c>
      <c r="L34" s="41">
        <v>80</v>
      </c>
      <c r="M34" s="41" t="str">
        <f t="shared" si="20"/>
        <v>A</v>
      </c>
      <c r="N34" s="41">
        <v>78</v>
      </c>
      <c r="O34" s="293" t="str">
        <f t="shared" si="7"/>
        <v>A</v>
      </c>
      <c r="P34" s="43">
        <v>76</v>
      </c>
      <c r="Q34" s="43" t="str">
        <f t="shared" si="8"/>
        <v>A</v>
      </c>
      <c r="R34" s="43">
        <v>68</v>
      </c>
      <c r="S34" s="43" t="str">
        <f t="shared" si="9"/>
        <v>B</v>
      </c>
      <c r="T34" s="43">
        <v>59</v>
      </c>
      <c r="U34" s="43" t="str">
        <f t="shared" si="10"/>
        <v>C</v>
      </c>
      <c r="V34" s="44"/>
      <c r="W34" s="44"/>
      <c r="X34" s="44"/>
      <c r="Y34" s="44"/>
      <c r="Z34" s="44">
        <v>79</v>
      </c>
      <c r="AA34" s="44" t="str">
        <f t="shared" si="22"/>
        <v>A</v>
      </c>
      <c r="AB34" s="99">
        <v>79</v>
      </c>
      <c r="AC34" s="99" t="str">
        <f t="shared" si="12"/>
        <v>A</v>
      </c>
      <c r="AD34" s="99">
        <v>75</v>
      </c>
      <c r="AE34" s="99" t="str">
        <f t="shared" si="13"/>
        <v>A</v>
      </c>
      <c r="AF34" s="100">
        <f t="shared" si="14"/>
        <v>828</v>
      </c>
      <c r="AG34" s="101">
        <f t="shared" si="15"/>
        <v>69</v>
      </c>
      <c r="AH34" s="100">
        <f t="shared" si="16"/>
        <v>4</v>
      </c>
      <c r="AI34" s="36">
        <f t="shared" si="17"/>
        <v>7</v>
      </c>
      <c r="AJ34" s="36">
        <f t="shared" si="0"/>
        <v>3</v>
      </c>
      <c r="AK34" s="36">
        <f t="shared" si="1"/>
        <v>1</v>
      </c>
      <c r="AL34" s="36">
        <f t="shared" si="2"/>
        <v>0</v>
      </c>
      <c r="AM34" s="36">
        <f t="shared" si="18"/>
        <v>1</v>
      </c>
      <c r="AN34" s="37">
        <f t="shared" si="19"/>
        <v>0</v>
      </c>
    </row>
    <row r="35" ht="13.15" customHeight="1" spans="1:40">
      <c r="A35" s="53" t="s">
        <v>133</v>
      </c>
      <c r="B35" s="54"/>
      <c r="C35" s="55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8"/>
      <c r="AG35" s="58"/>
      <c r="AH35" s="58"/>
      <c r="AM35" s="59"/>
      <c r="AN35" s="60"/>
    </row>
    <row r="36" ht="13.15" customHeight="1" spans="1:40">
      <c r="A36" s="53" t="s">
        <v>63</v>
      </c>
      <c r="B36" s="54"/>
      <c r="C36" s="61" t="s">
        <v>24</v>
      </c>
      <c r="D36" s="56"/>
      <c r="E36" s="63">
        <f>COUNTIF(E8:E34,"A")</f>
        <v>3</v>
      </c>
      <c r="F36" s="56"/>
      <c r="G36" s="63">
        <f>COUNTIF(G8:G34,"A")</f>
        <v>0</v>
      </c>
      <c r="H36" s="56"/>
      <c r="I36" s="63">
        <f>COUNTIF(I8:I34,"A")</f>
        <v>3</v>
      </c>
      <c r="J36" s="56"/>
      <c r="K36" s="63">
        <f>COUNTIF(K8:K34,"A")</f>
        <v>2</v>
      </c>
      <c r="L36" s="63"/>
      <c r="M36" s="63">
        <f>COUNTIF(M8:M34,"A")</f>
        <v>3</v>
      </c>
      <c r="N36" s="63"/>
      <c r="O36" s="63">
        <f>COUNTIF(O8:O34,"A")</f>
        <v>3</v>
      </c>
      <c r="P36" s="63"/>
      <c r="Q36" s="63">
        <f>COUNTIF(Q8:Q34,"A")</f>
        <v>5</v>
      </c>
      <c r="R36" s="56"/>
      <c r="S36" s="63">
        <f>COUNTIF(S8:S34,"A")</f>
        <v>0</v>
      </c>
      <c r="T36" s="56"/>
      <c r="U36" s="63">
        <f>COUNTIF(U8:U34,"A")</f>
        <v>0</v>
      </c>
      <c r="V36" s="56"/>
      <c r="W36" s="63">
        <f>COUNTIF(W8:W34,"A")</f>
        <v>2</v>
      </c>
      <c r="X36" s="56"/>
      <c r="Y36" s="63">
        <f>COUNTIF(Y8:Y34,"A")</f>
        <v>2</v>
      </c>
      <c r="Z36" s="56"/>
      <c r="AA36" s="63">
        <f>COUNTIF(AA8:AA34,"A")</f>
        <v>1</v>
      </c>
      <c r="AB36" s="56"/>
      <c r="AC36" s="63">
        <f>COUNTIF(AC8:AC34,"A")</f>
        <v>6</v>
      </c>
      <c r="AD36" s="56"/>
      <c r="AE36" s="63">
        <f>COUNTIF(AE8:AE34,"A")</f>
        <v>17</v>
      </c>
      <c r="AF36" s="64"/>
      <c r="AG36" s="64"/>
      <c r="AH36" s="64"/>
      <c r="AM36" s="59"/>
      <c r="AN36" s="60"/>
    </row>
    <row r="37" ht="13.15" customHeight="1" spans="1:40">
      <c r="A37" s="53" t="s">
        <v>64</v>
      </c>
      <c r="B37" s="54"/>
      <c r="C37" s="55" t="s">
        <v>25</v>
      </c>
      <c r="D37" s="56"/>
      <c r="E37" s="63">
        <f>COUNTIF(E8:E34,"B")</f>
        <v>4</v>
      </c>
      <c r="F37" s="56"/>
      <c r="G37" s="63">
        <f>COUNTIF(G8:G34,"B")</f>
        <v>0</v>
      </c>
      <c r="H37" s="56"/>
      <c r="I37" s="63">
        <f>COUNTIF(I8:I34,"B")</f>
        <v>3</v>
      </c>
      <c r="J37" s="56"/>
      <c r="K37" s="63">
        <f>COUNTIF(K8:K34,"B")</f>
        <v>3</v>
      </c>
      <c r="L37" s="56"/>
      <c r="M37" s="63">
        <f>COUNTIF(M8:M34,"B")</f>
        <v>3</v>
      </c>
      <c r="N37" s="56"/>
      <c r="O37" s="63">
        <f>COUNTIF(O8:O34,"B")</f>
        <v>1</v>
      </c>
      <c r="P37" s="56"/>
      <c r="Q37" s="63">
        <f>COUNTIF(Q8:Q34,"B")</f>
        <v>5</v>
      </c>
      <c r="R37" s="56"/>
      <c r="S37" s="63">
        <f>COUNTIF(S8:S34,"B")</f>
        <v>2</v>
      </c>
      <c r="T37" s="56"/>
      <c r="U37" s="63">
        <f>COUNTIF(U8:U34,"B")</f>
        <v>1</v>
      </c>
      <c r="V37" s="56"/>
      <c r="W37" s="63">
        <f>COUNTIF(W8:W34,"B")</f>
        <v>2</v>
      </c>
      <c r="X37" s="56"/>
      <c r="Y37" s="63">
        <f>COUNTIF(Y8:Y34,"B")</f>
        <v>3</v>
      </c>
      <c r="Z37" s="56"/>
      <c r="AA37" s="63">
        <f>COUNTIF(AA8:AA34,"B")</f>
        <v>0</v>
      </c>
      <c r="AB37" s="56"/>
      <c r="AC37" s="63">
        <f>COUNTIF(AC8:AC34,"B")</f>
        <v>2</v>
      </c>
      <c r="AD37" s="56"/>
      <c r="AE37" s="63">
        <f>COUNTIF(AE8:AE34,"B")</f>
        <v>3</v>
      </c>
      <c r="AF37" s="64"/>
      <c r="AG37" s="64"/>
      <c r="AH37" s="64"/>
      <c r="AN37" s="2"/>
    </row>
    <row r="38" ht="13.15" customHeight="1" spans="1:40">
      <c r="A38" s="53" t="s">
        <v>65</v>
      </c>
      <c r="B38" s="54"/>
      <c r="C38" s="55" t="s">
        <v>26</v>
      </c>
      <c r="D38" s="56"/>
      <c r="E38" s="63">
        <f>COUNTIF(E8:E34,"C")</f>
        <v>3</v>
      </c>
      <c r="F38" s="56"/>
      <c r="G38" s="63">
        <f>COUNTIF(G8:G34,"C")</f>
        <v>0</v>
      </c>
      <c r="H38" s="56"/>
      <c r="I38" s="63">
        <f>COUNTIF(I8:I34,"C")</f>
        <v>3</v>
      </c>
      <c r="J38" s="56"/>
      <c r="K38" s="63">
        <f>COUNTIF(K8:K34,"C")</f>
        <v>3</v>
      </c>
      <c r="L38" s="56"/>
      <c r="M38" s="63">
        <f>COUNTIF(M8:M34,"C")</f>
        <v>2</v>
      </c>
      <c r="N38" s="56"/>
      <c r="O38" s="63">
        <f>COUNTIF(O8:O34,"C")</f>
        <v>5</v>
      </c>
      <c r="P38" s="56"/>
      <c r="Q38" s="63">
        <f>COUNTIF(Q8:Q34,"C")</f>
        <v>2</v>
      </c>
      <c r="R38" s="56"/>
      <c r="S38" s="63">
        <f>COUNTIF(S8:S34,"C")</f>
        <v>3</v>
      </c>
      <c r="T38" s="56"/>
      <c r="U38" s="63">
        <f>COUNTIF(U8:U34,"C")</f>
        <v>1</v>
      </c>
      <c r="V38" s="56"/>
      <c r="W38" s="63">
        <f>COUNTIF(W8:W34,"C")</f>
        <v>2</v>
      </c>
      <c r="X38" s="56"/>
      <c r="Y38" s="63">
        <f>COUNTIF(Y8:Y34,"C")</f>
        <v>1</v>
      </c>
      <c r="Z38" s="56"/>
      <c r="AA38" s="63">
        <f>COUNTIF(AA8:AA34,"C")</f>
        <v>2</v>
      </c>
      <c r="AB38" s="56"/>
      <c r="AC38" s="63">
        <f>COUNTIF(AC8:AC34,"C")</f>
        <v>9</v>
      </c>
      <c r="AD38" s="56"/>
      <c r="AE38" s="63">
        <f>COUNTIF(AE8:AE34,"C")</f>
        <v>5</v>
      </c>
      <c r="AF38" s="64"/>
      <c r="AG38" s="64"/>
      <c r="AH38" s="64"/>
      <c r="AN38" s="2"/>
    </row>
    <row r="39" ht="13.15" customHeight="1" spans="1:40">
      <c r="A39" s="53" t="s">
        <v>66</v>
      </c>
      <c r="B39" s="54"/>
      <c r="C39" s="55" t="s">
        <v>27</v>
      </c>
      <c r="D39" s="56"/>
      <c r="E39" s="63">
        <f>COUNTIF(E8:E34,"S")</f>
        <v>1</v>
      </c>
      <c r="F39" s="56"/>
      <c r="G39" s="63">
        <f>COUNTIF(G8:G34,"S")</f>
        <v>0</v>
      </c>
      <c r="H39" s="56"/>
      <c r="I39" s="63">
        <f>COUNTIF(I8:I34,"S")</f>
        <v>3</v>
      </c>
      <c r="J39" s="56"/>
      <c r="K39" s="63">
        <f>COUNTIF(K8:K34,"S")</f>
        <v>0</v>
      </c>
      <c r="L39" s="56"/>
      <c r="M39" s="63">
        <f>COUNTIF(M8:M34,"S")</f>
        <v>2</v>
      </c>
      <c r="N39" s="56"/>
      <c r="O39" s="63">
        <f>COUNTIF(O8:O34,"S")</f>
        <v>0</v>
      </c>
      <c r="P39" s="56"/>
      <c r="Q39" s="63">
        <f>COUNTIF(Q8:Q34,"S")</f>
        <v>3</v>
      </c>
      <c r="R39" s="56"/>
      <c r="S39" s="63">
        <f>COUNTIF(S8:S34,"S")</f>
        <v>4</v>
      </c>
      <c r="T39" s="56"/>
      <c r="U39" s="63">
        <f>COUNTIF(U8:U34,"S")</f>
        <v>4</v>
      </c>
      <c r="V39" s="56"/>
      <c r="W39" s="63">
        <f>COUNTIF(W8:W34,"S")</f>
        <v>3</v>
      </c>
      <c r="X39" s="56"/>
      <c r="Y39" s="63">
        <f>COUNTIF(Y8:Y34,"S")</f>
        <v>0</v>
      </c>
      <c r="Z39" s="56"/>
      <c r="AA39" s="63">
        <f>COUNTIF(AA8:AA34,"S")</f>
        <v>0</v>
      </c>
      <c r="AB39" s="56"/>
      <c r="AC39" s="63">
        <f>COUNTIF(AC8:AC34,"S")</f>
        <v>2</v>
      </c>
      <c r="AD39" s="56"/>
      <c r="AE39" s="63">
        <f>COUNTIF(AE8:AE34,"S")</f>
        <v>1</v>
      </c>
      <c r="AF39" s="64"/>
      <c r="AG39" s="64"/>
      <c r="AH39" s="64"/>
      <c r="AN39" s="2"/>
    </row>
    <row r="40" ht="13.15" customHeight="1" spans="1:40">
      <c r="A40" s="53" t="s">
        <v>67</v>
      </c>
      <c r="B40" s="54"/>
      <c r="C40" s="55" t="s">
        <v>28</v>
      </c>
      <c r="D40" s="56"/>
      <c r="E40" s="63">
        <f>COUNTIF(E8:E34,"W")</f>
        <v>12</v>
      </c>
      <c r="F40" s="56"/>
      <c r="G40" s="63">
        <f>COUNTIF(G8:G34,"W")</f>
        <v>24</v>
      </c>
      <c r="H40" s="56"/>
      <c r="I40" s="63">
        <f>COUNTIF(I8:I34,"W")</f>
        <v>12</v>
      </c>
      <c r="J40" s="56"/>
      <c r="K40" s="63">
        <f>COUNTIF(K8:K34,"W")</f>
        <v>16</v>
      </c>
      <c r="L40" s="56"/>
      <c r="M40" s="63">
        <f>COUNTIF(M8:M34,"W")</f>
        <v>12</v>
      </c>
      <c r="N40" s="56"/>
      <c r="O40" s="63">
        <f>COUNTIF(O8:O34,"W")</f>
        <v>15</v>
      </c>
      <c r="P40" s="56"/>
      <c r="Q40" s="63">
        <f>COUNTIF(Q8:Q34,"W")</f>
        <v>7</v>
      </c>
      <c r="R40" s="56"/>
      <c r="S40" s="63">
        <f>COUNTIF(S8:S34,"W")</f>
        <v>15</v>
      </c>
      <c r="T40" s="56"/>
      <c r="U40" s="63">
        <f>COUNTIF(U8:U34,"W")</f>
        <v>18</v>
      </c>
      <c r="V40" s="56"/>
      <c r="W40" s="63">
        <f>COUNTIF(W8:W34,"W")</f>
        <v>4</v>
      </c>
      <c r="X40" s="56"/>
      <c r="Y40" s="63">
        <f>COUNTIF(Y8:Y34,"W")</f>
        <v>0</v>
      </c>
      <c r="Z40" s="56"/>
      <c r="AA40" s="63">
        <f>COUNTIF(AA8:AA34,"W")</f>
        <v>2</v>
      </c>
      <c r="AB40" s="56"/>
      <c r="AC40" s="63">
        <f>COUNTIF(AC8:AC34,"W")</f>
        <v>5</v>
      </c>
      <c r="AD40" s="56"/>
      <c r="AE40" s="63">
        <f>COUNTIF(AE8:AE34,"W")</f>
        <v>1</v>
      </c>
      <c r="AF40" s="64"/>
      <c r="AG40" s="64"/>
      <c r="AH40" s="64"/>
      <c r="AN40" s="2"/>
    </row>
    <row r="41" ht="13.15" customHeight="1" spans="1:40">
      <c r="A41" s="53"/>
      <c r="B41" s="54"/>
      <c r="C41" s="55" t="s">
        <v>29</v>
      </c>
      <c r="D41" s="56"/>
      <c r="E41" s="63">
        <f>COUNTIF(E8:E34,"AB")</f>
        <v>4</v>
      </c>
      <c r="F41" s="56"/>
      <c r="G41" s="63">
        <f>COUNTIF(G8:G34,"AB")</f>
        <v>3</v>
      </c>
      <c r="H41" s="56"/>
      <c r="I41" s="63">
        <f>COUNTIF(I8:I34,"AB")</f>
        <v>3</v>
      </c>
      <c r="J41" s="56"/>
      <c r="K41" s="63">
        <f>COUNTIF(K8:K34,"AB")</f>
        <v>3</v>
      </c>
      <c r="L41" s="56"/>
      <c r="M41" s="63">
        <f>COUNTIF(M8:M34,"AB")</f>
        <v>5</v>
      </c>
      <c r="N41" s="56"/>
      <c r="O41" s="63">
        <f>COUNTIF(O8:O34,"AB")</f>
        <v>3</v>
      </c>
      <c r="P41" s="56"/>
      <c r="Q41" s="63">
        <f>COUNTIF(Q8:Q34,"AB")</f>
        <v>4</v>
      </c>
      <c r="R41" s="56"/>
      <c r="S41" s="63">
        <f>COUNTIF(S8:S34,"AB")</f>
        <v>3</v>
      </c>
      <c r="T41" s="56"/>
      <c r="U41" s="63">
        <f>COUNTIF(U8:U34,"AB")</f>
        <v>3</v>
      </c>
      <c r="V41" s="56"/>
      <c r="W41" s="63">
        <f>COUNTIF(W8:W34,"AB")</f>
        <v>0</v>
      </c>
      <c r="X41" s="56"/>
      <c r="Y41" s="63">
        <f>COUNTIF(Y8:Y34,"AB")</f>
        <v>3</v>
      </c>
      <c r="Z41" s="56"/>
      <c r="AA41" s="63">
        <f>COUNTIF(AA8:AA34,"AB")</f>
        <v>0</v>
      </c>
      <c r="AB41" s="56"/>
      <c r="AC41" s="63">
        <f>COUNTIF(AC8:AC34,"AB")</f>
        <v>3</v>
      </c>
      <c r="AD41" s="56"/>
      <c r="AE41" s="63">
        <f>COUNTIF(AE8:AE34,"AB")</f>
        <v>0</v>
      </c>
      <c r="AF41" s="64"/>
      <c r="AG41" s="64"/>
      <c r="AH41" s="64"/>
      <c r="AN41" s="2"/>
    </row>
    <row r="42" ht="13.15" customHeight="1" spans="1:40">
      <c r="A42" s="53" t="s">
        <v>7</v>
      </c>
      <c r="B42" s="54"/>
      <c r="C42" s="55"/>
      <c r="D42" s="56"/>
      <c r="E42" s="54">
        <f>SUM(E36:E41)</f>
        <v>27</v>
      </c>
      <c r="F42" s="56"/>
      <c r="G42" s="156">
        <f>SUM(G36:G41)</f>
        <v>27</v>
      </c>
      <c r="H42" s="56"/>
      <c r="I42" s="156">
        <f>SUM(I36:I41)</f>
        <v>27</v>
      </c>
      <c r="J42" s="56"/>
      <c r="K42" s="156">
        <f>SUM(K36:K41)</f>
        <v>27</v>
      </c>
      <c r="L42" s="56"/>
      <c r="M42" s="156">
        <f>SUM(M36:M41)</f>
        <v>27</v>
      </c>
      <c r="N42" s="56"/>
      <c r="O42" s="156">
        <f>SUM(O36:O41)</f>
        <v>27</v>
      </c>
      <c r="P42" s="56"/>
      <c r="Q42" s="156">
        <f>SUM(Q36:Q41)</f>
        <v>26</v>
      </c>
      <c r="R42" s="56"/>
      <c r="S42" s="156">
        <f>SUM(S36:S41)</f>
        <v>27</v>
      </c>
      <c r="T42" s="56"/>
      <c r="U42" s="156">
        <f>SUM(U36:U41)</f>
        <v>27</v>
      </c>
      <c r="V42" s="56"/>
      <c r="W42" s="156">
        <f>SUM(W36:W41)</f>
        <v>13</v>
      </c>
      <c r="X42" s="56"/>
      <c r="Y42" s="156">
        <f>SUM(Y36:Y41)</f>
        <v>9</v>
      </c>
      <c r="Z42" s="56"/>
      <c r="AA42" s="156">
        <f>SUM(AA36:AA41)</f>
        <v>5</v>
      </c>
      <c r="AB42" s="56"/>
      <c r="AC42" s="156">
        <f>SUM(AC36:AC41)</f>
        <v>27</v>
      </c>
      <c r="AD42" s="56"/>
      <c r="AE42" s="156">
        <f>SUM(AE36:AE41)</f>
        <v>27</v>
      </c>
      <c r="AF42" s="70"/>
      <c r="AG42" s="70"/>
      <c r="AH42" s="70"/>
      <c r="AN42" s="2"/>
    </row>
    <row r="43" ht="18" spans="1:40">
      <c r="A43" s="123"/>
      <c r="B43" s="287"/>
      <c r="C43" s="287"/>
      <c r="K43" s="1"/>
      <c r="AN43" s="2"/>
    </row>
    <row r="44" ht="18" spans="1:40">
      <c r="A44" s="123"/>
      <c r="B44" s="310"/>
      <c r="C44" s="310"/>
      <c r="K44" s="1"/>
      <c r="AN44" s="2"/>
    </row>
  </sheetData>
  <mergeCells count="17">
    <mergeCell ref="A1:AE1"/>
    <mergeCell ref="A3:AM3"/>
    <mergeCell ref="A4:AM4"/>
    <mergeCell ref="D6:AE6"/>
    <mergeCell ref="AF6:AH6"/>
    <mergeCell ref="AI6:AN6"/>
    <mergeCell ref="A35:B35"/>
    <mergeCell ref="A36:B36"/>
    <mergeCell ref="A37:B37"/>
    <mergeCell ref="A38:B38"/>
    <mergeCell ref="A39:B39"/>
    <mergeCell ref="A40:B40"/>
    <mergeCell ref="A41:B41"/>
    <mergeCell ref="A42:B42"/>
    <mergeCell ref="A6:A7"/>
    <mergeCell ref="B6:B7"/>
    <mergeCell ref="C6:C7"/>
  </mergeCells>
  <pageMargins left="0.25" right="0.25" top="0.75" bottom="0.75" header="0.3" footer="0.3"/>
  <pageSetup paperSize="8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4"/>
  <sheetViews>
    <sheetView zoomScale="75" zoomScaleNormal="75" workbookViewId="0">
      <selection activeCell="S6" sqref="S6"/>
    </sheetView>
  </sheetViews>
  <sheetFormatPr defaultColWidth="9" defaultRowHeight="14.4"/>
  <cols>
    <col min="1" max="1" width="4" customWidth="1"/>
    <col min="2" max="2" width="42.287037037037" customWidth="1"/>
    <col min="3" max="31" width="4.28703703703704" customWidth="1"/>
    <col min="32" max="32" width="4.71296296296296" customWidth="1"/>
    <col min="33" max="33" width="8.57407407407407" customWidth="1"/>
    <col min="34" max="34" width="3.85185185185185" customWidth="1"/>
    <col min="35" max="35" width="2.71296296296296" customWidth="1"/>
    <col min="36" max="36" width="2.57407407407407" customWidth="1"/>
    <col min="37" max="38" width="2.71296296296296" customWidth="1"/>
    <col min="39" max="39" width="2.57407407407407" customWidth="1"/>
    <col min="40" max="40" width="3.57407407407407" customWidth="1"/>
    <col min="41" max="41" width="6.71296296296296" customWidth="1"/>
  </cols>
  <sheetData>
    <row r="1" ht="25.8" spans="1:41">
      <c r="A1" s="3" t="s">
        <v>170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N1" s="2"/>
    </row>
    <row r="2" ht="18" customHeight="1" spans="1:4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2"/>
    </row>
    <row r="3" ht="21" spans="1:41">
      <c r="A3" s="5" t="s">
        <v>171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2"/>
    </row>
    <row r="4" ht="15.6" spans="1:41">
      <c r="A4" s="6" t="s">
        <v>3</v>
      </c>
      <c r="B4" s="7" t="s">
        <v>4</v>
      </c>
      <c r="C4" s="8" t="s">
        <v>5</v>
      </c>
      <c r="D4" s="9" t="s">
        <v>6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290"/>
      <c r="AG4" s="291"/>
      <c r="AH4" s="292"/>
      <c r="AI4" s="115" t="s">
        <v>7</v>
      </c>
      <c r="AJ4" s="115"/>
      <c r="AK4" s="115"/>
      <c r="AL4" s="115"/>
      <c r="AM4" s="115"/>
      <c r="AN4" s="2"/>
    </row>
    <row r="5" ht="70.9" customHeight="1" spans="1:41">
      <c r="A5" s="6"/>
      <c r="B5" s="6"/>
      <c r="C5" s="13"/>
      <c r="D5" s="14" t="s">
        <v>8</v>
      </c>
      <c r="E5" s="14"/>
      <c r="F5" s="14" t="s">
        <v>9</v>
      </c>
      <c r="G5" s="14"/>
      <c r="H5" s="14" t="s">
        <v>10</v>
      </c>
      <c r="I5" s="14"/>
      <c r="J5" s="14" t="s">
        <v>11</v>
      </c>
      <c r="K5" s="14"/>
      <c r="L5" s="14" t="s">
        <v>12</v>
      </c>
      <c r="M5" s="14"/>
      <c r="N5" s="14" t="s">
        <v>13</v>
      </c>
      <c r="O5" s="14"/>
      <c r="P5" s="384" t="s">
        <v>14</v>
      </c>
      <c r="Q5" s="16"/>
      <c r="R5" s="16" t="s">
        <v>15</v>
      </c>
      <c r="S5" s="16"/>
      <c r="T5" s="16" t="s">
        <v>16</v>
      </c>
      <c r="U5" s="16"/>
      <c r="V5" s="17" t="s">
        <v>17</v>
      </c>
      <c r="W5" s="17"/>
      <c r="X5" s="17" t="s">
        <v>18</v>
      </c>
      <c r="Y5" s="17"/>
      <c r="Z5" s="17" t="s">
        <v>19</v>
      </c>
      <c r="AA5" s="92"/>
      <c r="AB5" s="117" t="s">
        <v>20</v>
      </c>
      <c r="AC5" s="93"/>
      <c r="AD5" s="93" t="s">
        <v>21</v>
      </c>
      <c r="AE5" s="93"/>
      <c r="AF5" s="18" t="s">
        <v>7</v>
      </c>
      <c r="AG5" s="18" t="s">
        <v>22</v>
      </c>
      <c r="AH5" s="18" t="s">
        <v>23</v>
      </c>
      <c r="AI5" s="19" t="s">
        <v>24</v>
      </c>
      <c r="AJ5" s="20" t="s">
        <v>25</v>
      </c>
      <c r="AK5" s="21" t="s">
        <v>26</v>
      </c>
      <c r="AL5" s="20" t="s">
        <v>27</v>
      </c>
      <c r="AM5" s="20" t="s">
        <v>28</v>
      </c>
      <c r="AN5" s="385" t="s">
        <v>29</v>
      </c>
    </row>
    <row r="6" ht="18" spans="1:41">
      <c r="A6" s="39">
        <v>1</v>
      </c>
      <c r="B6" s="276" t="s">
        <v>172</v>
      </c>
      <c r="C6" s="95" t="s">
        <v>173</v>
      </c>
      <c r="D6" s="41">
        <v>15</v>
      </c>
      <c r="E6" s="29" t="str">
        <f>IF(D6&gt;=75,"A",IF(D6&gt;=65,"B",IF(D6&gt;=50,"C",IF(D6&gt;=40,"S","W"))))</f>
        <v>W</v>
      </c>
      <c r="F6" s="49">
        <v>7</v>
      </c>
      <c r="G6" s="49" t="str">
        <f t="shared" ref="G6:G34" si="0">IF(F6&gt;=75,"A",IF(F6&gt;=65,"B",IF(F6&gt;=50,"C",IF(F6&gt;=40,"S","W"))))</f>
        <v>W</v>
      </c>
      <c r="H6" s="41">
        <v>30</v>
      </c>
      <c r="I6" s="29" t="str">
        <f>IF(H6&gt;=75,"A",IF(H6&gt;=65,"B",IF(H6&gt;=50,"C",IF(H6&gt;=40,"S","W"))))</f>
        <v>W</v>
      </c>
      <c r="J6" s="41">
        <v>16</v>
      </c>
      <c r="K6" s="41" t="str">
        <f>IF(J6&gt;=75,"A",IF(J6&gt;=65,"B",IF(J6&gt;=50,"C",IF(J6&gt;=40,"S","W"))))</f>
        <v>W</v>
      </c>
      <c r="L6" s="41">
        <v>33</v>
      </c>
      <c r="M6" s="41" t="str">
        <f t="shared" ref="M6" si="1">IF(L6&gt;=75,"A",IF(L6&gt;=65,"B",IF(L6&gt;=50,"C",IF(L6&gt;=40,"S","W"))))</f>
        <v>W</v>
      </c>
      <c r="N6" s="41">
        <v>42</v>
      </c>
      <c r="O6" s="41" t="str">
        <f t="shared" ref="O6:O33" si="2">IF(N6&gt;=75,"A",IF(N6&gt;=65,"B",IF(N6&gt;=50,"C",IF(N6&gt;=40,"S","W"))))</f>
        <v>S</v>
      </c>
      <c r="P6" s="309">
        <v>35</v>
      </c>
      <c r="Q6" s="309" t="str">
        <f t="shared" ref="Q6:Q8" si="3">IF(P6&gt;=75,"A",IF(P6&gt;=65,"B",IF(P6&gt;=50,"C",IF(P6&gt;=40,"S","W"))))</f>
        <v>W</v>
      </c>
      <c r="R6" s="43">
        <v>19</v>
      </c>
      <c r="S6" s="43" t="str">
        <f>IF(R6&gt;=75,"A",IF(R6&gt;=65,"B",IF(R6&gt;=50,"C",IF(R6&gt;=40,"S","W"))))</f>
        <v>W</v>
      </c>
      <c r="T6" s="43">
        <v>14</v>
      </c>
      <c r="U6" s="43" t="str">
        <f>IF(T6&gt;=75,"A",IF(T6&gt;=65,"B",IF(T6&gt;=50,"C",IF(T6&gt;=40,"S","W"))))</f>
        <v>W</v>
      </c>
      <c r="V6" s="44">
        <v>42</v>
      </c>
      <c r="W6" s="44" t="str">
        <f>IF(V6&gt;=75,"A",IF(V6&gt;=65,"B",IF(V6&gt;=50,"C",IF(V6&gt;=40,"S","W"))))</f>
        <v>S</v>
      </c>
      <c r="X6" s="44"/>
      <c r="Y6" s="44"/>
      <c r="Z6" s="44"/>
      <c r="AA6" s="44"/>
      <c r="AB6" s="99">
        <v>47</v>
      </c>
      <c r="AC6" s="99" t="str">
        <f>IF(AB6&gt;=75,"A",IF(AB6&gt;=65,"B",IF(AB6&gt;=50,"C",IF(AB6&gt;=40,"S","W"))))</f>
        <v>S</v>
      </c>
      <c r="AD6" s="99">
        <v>40</v>
      </c>
      <c r="AE6" s="99" t="str">
        <f>IF(AD6&gt;=75,"A",IF(AD6&gt;=65,"B",IF(AD6&gt;=50,"C",IF(AD6&gt;=40,"S","W"))))</f>
        <v>S</v>
      </c>
      <c r="AF6" s="100">
        <f>SUM(AD6,AB6,Z6,X6,V6,T6,R6,P6,N6,L6,J6,H6,F6,D6)</f>
        <v>340</v>
      </c>
      <c r="AG6" s="101">
        <f>AVERAGE(AD6,AB6,Z6,X6,V6,T6,R6,P6,N6,L6,J6,H6,F6,D6)</f>
        <v>28.3333333333333</v>
      </c>
      <c r="AH6" s="100">
        <f>RANK(AF6,$AF$6:$AF$34,0)</f>
        <v>23</v>
      </c>
      <c r="AI6" s="36">
        <f>COUNTIF(D6:AE6,"A")</f>
        <v>0</v>
      </c>
      <c r="AJ6" s="36">
        <f>COUNTIF(D6:AE6,"B")</f>
        <v>0</v>
      </c>
      <c r="AK6" s="36">
        <f>COUNTIF(D6:AE6,"C")</f>
        <v>0</v>
      </c>
      <c r="AL6" s="36">
        <f>COUNTIF(E6:AE6,"S")</f>
        <v>4</v>
      </c>
      <c r="AM6" s="36">
        <f t="shared" ref="AM6:AM21" si="4">COUNTIF(D6:AE6,"W")</f>
        <v>8</v>
      </c>
      <c r="AN6" s="37">
        <f>(COUNTIF(D6:AE6,"AB"))/2</f>
        <v>0</v>
      </c>
    </row>
    <row r="7" ht="16.9" customHeight="1" spans="1:41">
      <c r="A7" s="24">
        <v>2</v>
      </c>
      <c r="B7" s="276" t="s">
        <v>174</v>
      </c>
      <c r="C7" s="95" t="s">
        <v>173</v>
      </c>
      <c r="D7" s="41">
        <v>16</v>
      </c>
      <c r="E7" s="29" t="str">
        <f t="shared" ref="E7:E8" si="5">IF(D7&gt;=75,"A",IF(D7&gt;=65,"B",IF(D7&gt;=50,"C",IF(D7&gt;=40,"S","W"))))</f>
        <v>W</v>
      </c>
      <c r="F7" s="41">
        <v>1</v>
      </c>
      <c r="G7" s="49" t="str">
        <f t="shared" si="0"/>
        <v>W</v>
      </c>
      <c r="H7" s="41">
        <v>8</v>
      </c>
      <c r="I7" s="29" t="str">
        <f t="shared" ref="I7:I9" si="6">IF(H7&gt;=75,"A",IF(H7&gt;=65,"B",IF(H7&gt;=50,"C",IF(H7&gt;=40,"S","W"))))</f>
        <v>W</v>
      </c>
      <c r="J7" s="41">
        <v>17</v>
      </c>
      <c r="K7" s="41" t="str">
        <f t="shared" ref="K7:K8" si="7">IF(J7&gt;=75,"A",IF(J7&gt;=65,"B",IF(J7&gt;=50,"C",IF(J7&gt;=40,"S","W"))))</f>
        <v>W</v>
      </c>
      <c r="L7" s="46" t="s">
        <v>29</v>
      </c>
      <c r="M7" s="46" t="s">
        <v>29</v>
      </c>
      <c r="N7" s="41">
        <v>17</v>
      </c>
      <c r="O7" s="41" t="str">
        <f t="shared" si="2"/>
        <v>W</v>
      </c>
      <c r="P7" s="43">
        <v>20</v>
      </c>
      <c r="Q7" s="309" t="str">
        <f t="shared" si="3"/>
        <v>W</v>
      </c>
      <c r="R7" s="43">
        <v>18</v>
      </c>
      <c r="S7" s="43" t="str">
        <f t="shared" ref="S7:S8" si="8">IF(R7&gt;=75,"A",IF(R7&gt;=65,"B",IF(R7&gt;=50,"C",IF(R7&gt;=40,"S","W"))))</f>
        <v>W</v>
      </c>
      <c r="T7" s="43">
        <v>14</v>
      </c>
      <c r="U7" s="43" t="str">
        <f t="shared" ref="U7:U8" si="9">IF(T7&gt;=75,"A",IF(T7&gt;=65,"B",IF(T7&gt;=50,"C",IF(T7&gt;=40,"S","W"))))</f>
        <v>W</v>
      </c>
      <c r="V7" s="44"/>
      <c r="W7" s="44"/>
      <c r="X7" s="44">
        <v>40</v>
      </c>
      <c r="Y7" s="44" t="str">
        <f>IF(X7&gt;=75,"A",IF(X7&gt;=65,"B",IF(X7&gt;=50,"C",IF(X7&gt;=40,"S","W"))))</f>
        <v>S</v>
      </c>
      <c r="Z7" s="44"/>
      <c r="AA7" s="44"/>
      <c r="AB7" s="99">
        <v>12</v>
      </c>
      <c r="AC7" s="99" t="str">
        <f t="shared" ref="AC7:AC12" si="10">IF(AB7&gt;=75,"A",IF(AB7&gt;=65,"B",IF(AB7&gt;=50,"C",IF(AB7&gt;=40,"S","W"))))</f>
        <v>W</v>
      </c>
      <c r="AD7" s="304" t="s">
        <v>29</v>
      </c>
      <c r="AE7" s="304" t="s">
        <v>29</v>
      </c>
      <c r="AF7" s="100">
        <f t="shared" ref="AF7:AF34" si="11">SUM(AD7,AB7,Z7,X7,V7,T7,R7,P7,N7,L7,J7,H7,F7,D7)</f>
        <v>163</v>
      </c>
      <c r="AG7" s="101">
        <f t="shared" ref="AG7:AG34" si="12">AVERAGE(AD7,AB7,Z7,X7,V7,T7,R7,P7,N7,L7,J7,H7,F7,D7)</f>
        <v>16.3</v>
      </c>
      <c r="AH7" s="100">
        <f t="shared" ref="AH7:AH34" si="13">RANK(AF7,$AF$6:$AF$34,0)</f>
        <v>28</v>
      </c>
      <c r="AI7" s="36">
        <f t="shared" ref="AI7:AI34" si="14">COUNTIF(D7:AE7,"A")</f>
        <v>0</v>
      </c>
      <c r="AJ7" s="36">
        <f t="shared" ref="AJ7:AJ34" si="15">COUNTIF(D7:AE7,"B")</f>
        <v>0</v>
      </c>
      <c r="AK7" s="36">
        <f t="shared" ref="AK7:AK34" si="16">COUNTIF(D7:AE7,"C")</f>
        <v>0</v>
      </c>
      <c r="AL7" s="36">
        <f t="shared" ref="AL7:AL34" si="17">COUNTIF(E7:AE7,"S")</f>
        <v>1</v>
      </c>
      <c r="AM7" s="36">
        <f t="shared" si="4"/>
        <v>9</v>
      </c>
      <c r="AN7" s="37">
        <f t="shared" ref="AN7:AN34" si="18">(COUNTIF(D7:AE7,"AB"))/2</f>
        <v>2</v>
      </c>
      <c r="AO7" s="386"/>
    </row>
    <row r="8" ht="16.15" customHeight="1" spans="1:41">
      <c r="A8" s="39">
        <v>3</v>
      </c>
      <c r="B8" s="387" t="s">
        <v>175</v>
      </c>
      <c r="C8" s="95" t="s">
        <v>173</v>
      </c>
      <c r="D8" s="41">
        <v>22</v>
      </c>
      <c r="E8" s="29" t="str">
        <f t="shared" si="5"/>
        <v>W</v>
      </c>
      <c r="F8" s="41">
        <v>7</v>
      </c>
      <c r="G8" s="49" t="str">
        <f t="shared" si="0"/>
        <v>W</v>
      </c>
      <c r="H8" s="41">
        <v>42</v>
      </c>
      <c r="I8" s="29" t="str">
        <f t="shared" si="6"/>
        <v>S</v>
      </c>
      <c r="J8" s="41">
        <v>11</v>
      </c>
      <c r="K8" s="41" t="str">
        <f t="shared" si="7"/>
        <v>W</v>
      </c>
      <c r="L8" s="41">
        <v>29</v>
      </c>
      <c r="M8" s="41" t="str">
        <f>IF(L8&gt;=75,"A",IF(L8&gt;=65,"B",IF(L8&gt;=50,"C",IF(L8&gt;=40,"S","W"))))</f>
        <v>W</v>
      </c>
      <c r="N8" s="41">
        <v>31</v>
      </c>
      <c r="O8" s="41" t="str">
        <f t="shared" si="2"/>
        <v>W</v>
      </c>
      <c r="P8" s="43">
        <v>29</v>
      </c>
      <c r="Q8" s="309" t="str">
        <f t="shared" si="3"/>
        <v>W</v>
      </c>
      <c r="R8" s="43">
        <v>31</v>
      </c>
      <c r="S8" s="43" t="str">
        <f t="shared" si="8"/>
        <v>W</v>
      </c>
      <c r="T8" s="43">
        <v>6</v>
      </c>
      <c r="U8" s="43" t="str">
        <f t="shared" si="9"/>
        <v>W</v>
      </c>
      <c r="V8" s="44"/>
      <c r="W8" s="44"/>
      <c r="X8" s="44">
        <v>35</v>
      </c>
      <c r="Y8" s="44" t="str">
        <f t="shared" ref="Y8:Y34" si="19">IF(X8&gt;=75,"A",IF(X8&gt;=65,"B",IF(X8&gt;=50,"C",IF(X8&gt;=40,"S","W"))))</f>
        <v>W</v>
      </c>
      <c r="Z8" s="44">
        <v>59</v>
      </c>
      <c r="AA8" s="44" t="str">
        <f>IF(Z8&gt;=75,"A",IF(Z8&gt;=65,"B",IF(Z8&gt;=50,"C",IF(Z8&gt;=40,"S","W"))))</f>
        <v>C</v>
      </c>
      <c r="AB8" s="99">
        <v>53</v>
      </c>
      <c r="AC8" s="99" t="str">
        <f t="shared" si="10"/>
        <v>C</v>
      </c>
      <c r="AD8" s="99">
        <v>40</v>
      </c>
      <c r="AE8" s="99" t="str">
        <f t="shared" ref="AE8:AE34" si="20">IF(AD8&gt;=75,"A",IF(AD8&gt;=65,"B",IF(AD8&gt;=50,"C",IF(AD8&gt;=40,"S","W"))))</f>
        <v>S</v>
      </c>
      <c r="AF8" s="100">
        <f t="shared" si="11"/>
        <v>395</v>
      </c>
      <c r="AG8" s="101">
        <f t="shared" si="12"/>
        <v>30.3846153846154</v>
      </c>
      <c r="AH8" s="100">
        <f t="shared" si="13"/>
        <v>20</v>
      </c>
      <c r="AI8" s="36">
        <f t="shared" si="14"/>
        <v>0</v>
      </c>
      <c r="AJ8" s="36">
        <f t="shared" si="15"/>
        <v>0</v>
      </c>
      <c r="AK8" s="36">
        <f t="shared" si="16"/>
        <v>2</v>
      </c>
      <c r="AL8" s="36">
        <f t="shared" si="17"/>
        <v>2</v>
      </c>
      <c r="AM8" s="36">
        <f t="shared" si="4"/>
        <v>9</v>
      </c>
      <c r="AN8" s="37">
        <f t="shared" si="18"/>
        <v>0</v>
      </c>
    </row>
    <row r="9" ht="16.15" customHeight="1" spans="1:41">
      <c r="A9" s="24">
        <v>4</v>
      </c>
      <c r="B9" s="387" t="s">
        <v>176</v>
      </c>
      <c r="C9" s="95" t="s">
        <v>173</v>
      </c>
      <c r="D9" s="41">
        <v>16</v>
      </c>
      <c r="E9" s="29" t="str">
        <f t="shared" ref="E9:E34" si="21">IF(D9&gt;=75,"A",IF(D9&gt;=65,"B",IF(D9&gt;=50,"C",IF(D9&gt;=40,"S","W"))))</f>
        <v>W</v>
      </c>
      <c r="F9" s="388" t="s">
        <v>29</v>
      </c>
      <c r="G9" s="388" t="s">
        <v>29</v>
      </c>
      <c r="H9" s="41">
        <v>13</v>
      </c>
      <c r="I9" s="29" t="str">
        <f t="shared" si="6"/>
        <v>W</v>
      </c>
      <c r="J9" s="41">
        <v>14</v>
      </c>
      <c r="K9" s="41" t="str">
        <f t="shared" ref="K9:K34" si="22">IF(J9&gt;=75,"A",IF(J9&gt;=65,"B",IF(J9&gt;=50,"C",IF(J9&gt;=40,"S","W"))))</f>
        <v>W</v>
      </c>
      <c r="L9" s="41">
        <v>27</v>
      </c>
      <c r="M9" s="41" t="str">
        <f t="shared" ref="M9:M34" si="23">IF(L9&gt;=75,"A",IF(L9&gt;=65,"B",IF(L9&gt;=50,"C",IF(L9&gt;=40,"S","W"))))</f>
        <v>W</v>
      </c>
      <c r="N9" s="41">
        <v>32</v>
      </c>
      <c r="O9" s="41" t="str">
        <f t="shared" si="2"/>
        <v>W</v>
      </c>
      <c r="P9" s="43">
        <v>25</v>
      </c>
      <c r="Q9" s="309" t="str">
        <f t="shared" ref="Q9:Q34" si="24">IF(P9&gt;=75,"A",IF(P9&gt;=65,"B",IF(P9&gt;=50,"C",IF(P9&gt;=40,"S","W"))))</f>
        <v>W</v>
      </c>
      <c r="R9" s="43">
        <v>8</v>
      </c>
      <c r="S9" s="43" t="str">
        <f t="shared" ref="S9:S34" si="25">IF(R9&gt;=75,"A",IF(R9&gt;=65,"B",IF(R9&gt;=50,"C",IF(R9&gt;=40,"S","W"))))</f>
        <v>W</v>
      </c>
      <c r="T9" s="42" t="s">
        <v>29</v>
      </c>
      <c r="U9" s="42" t="s">
        <v>29</v>
      </c>
      <c r="V9" s="44"/>
      <c r="W9" s="44"/>
      <c r="X9" s="86"/>
      <c r="Y9" s="86"/>
      <c r="Z9" s="44"/>
      <c r="AA9" s="44"/>
      <c r="AB9" s="99">
        <v>38</v>
      </c>
      <c r="AC9" s="99" t="str">
        <f t="shared" si="10"/>
        <v>W</v>
      </c>
      <c r="AD9" s="99">
        <v>40</v>
      </c>
      <c r="AE9" s="99" t="str">
        <f t="shared" si="20"/>
        <v>S</v>
      </c>
      <c r="AF9" s="100">
        <f t="shared" si="11"/>
        <v>213</v>
      </c>
      <c r="AG9" s="101">
        <f t="shared" si="12"/>
        <v>23.6666666666667</v>
      </c>
      <c r="AH9" s="100">
        <f t="shared" si="13"/>
        <v>26</v>
      </c>
      <c r="AI9" s="36">
        <f t="shared" si="14"/>
        <v>0</v>
      </c>
      <c r="AJ9" s="36">
        <f t="shared" si="15"/>
        <v>0</v>
      </c>
      <c r="AK9" s="36">
        <f t="shared" si="16"/>
        <v>0</v>
      </c>
      <c r="AL9" s="36">
        <f t="shared" si="17"/>
        <v>1</v>
      </c>
      <c r="AM9" s="36">
        <f t="shared" si="4"/>
        <v>8</v>
      </c>
      <c r="AN9" s="37">
        <f t="shared" si="18"/>
        <v>2</v>
      </c>
    </row>
    <row r="10" ht="16.15" customHeight="1" spans="1:41">
      <c r="A10" s="39">
        <v>5</v>
      </c>
      <c r="B10" s="276" t="s">
        <v>177</v>
      </c>
      <c r="C10" s="95" t="s">
        <v>173</v>
      </c>
      <c r="D10" s="41">
        <v>13</v>
      </c>
      <c r="E10" s="29" t="str">
        <f t="shared" si="21"/>
        <v>W</v>
      </c>
      <c r="F10" s="41">
        <v>22</v>
      </c>
      <c r="G10" s="49" t="str">
        <f t="shared" si="0"/>
        <v>W</v>
      </c>
      <c r="H10" s="41">
        <v>27</v>
      </c>
      <c r="I10" s="29" t="str">
        <f t="shared" ref="I10:I34" si="26">IF(H10&gt;=75,"A",IF(H10&gt;=65,"B",IF(H10&gt;=50,"C",IF(H10&gt;=40,"S","W"))))</f>
        <v>W</v>
      </c>
      <c r="J10" s="41">
        <v>14</v>
      </c>
      <c r="K10" s="41" t="str">
        <f t="shared" si="22"/>
        <v>W</v>
      </c>
      <c r="L10" s="49">
        <v>23</v>
      </c>
      <c r="M10" s="41" t="str">
        <f t="shared" si="23"/>
        <v>W</v>
      </c>
      <c r="N10" s="41">
        <v>32</v>
      </c>
      <c r="O10" s="41" t="str">
        <f t="shared" si="2"/>
        <v>W</v>
      </c>
      <c r="P10" s="43">
        <v>54</v>
      </c>
      <c r="Q10" s="309" t="str">
        <f t="shared" si="24"/>
        <v>C</v>
      </c>
      <c r="R10" s="43">
        <v>16</v>
      </c>
      <c r="S10" s="43" t="str">
        <f t="shared" si="25"/>
        <v>W</v>
      </c>
      <c r="T10" s="43">
        <v>3</v>
      </c>
      <c r="U10" s="43" t="str">
        <f t="shared" ref="U10:U34" si="27">IF(T10&gt;=75,"A",IF(T10&gt;=65,"B",IF(T10&gt;=50,"C",IF(T10&gt;=40,"S","W"))))</f>
        <v>W</v>
      </c>
      <c r="V10" s="44">
        <v>15</v>
      </c>
      <c r="W10" s="44" t="str">
        <f t="shared" ref="W10:W33" si="28">IF(V10&gt;=75,"A",IF(V10&gt;=65,"B",IF(V10&gt;=50,"C",IF(V10&gt;=40,"S","W"))))</f>
        <v>W</v>
      </c>
      <c r="X10" s="44"/>
      <c r="Y10" s="44"/>
      <c r="Z10" s="44"/>
      <c r="AA10" s="44"/>
      <c r="AB10" s="99">
        <v>26</v>
      </c>
      <c r="AC10" s="99" t="str">
        <f t="shared" si="10"/>
        <v>W</v>
      </c>
      <c r="AD10" s="99">
        <v>40</v>
      </c>
      <c r="AE10" s="99" t="str">
        <f t="shared" si="20"/>
        <v>S</v>
      </c>
      <c r="AF10" s="100">
        <f t="shared" si="11"/>
        <v>285</v>
      </c>
      <c r="AG10" s="101">
        <f t="shared" si="12"/>
        <v>23.75</v>
      </c>
      <c r="AH10" s="100">
        <f t="shared" si="13"/>
        <v>24</v>
      </c>
      <c r="AI10" s="36">
        <f t="shared" si="14"/>
        <v>0</v>
      </c>
      <c r="AJ10" s="36">
        <f t="shared" si="15"/>
        <v>0</v>
      </c>
      <c r="AK10" s="36">
        <f t="shared" si="16"/>
        <v>1</v>
      </c>
      <c r="AL10" s="36">
        <f t="shared" si="17"/>
        <v>1</v>
      </c>
      <c r="AM10" s="36">
        <f t="shared" si="4"/>
        <v>10</v>
      </c>
      <c r="AN10" s="37">
        <f t="shared" si="18"/>
        <v>0</v>
      </c>
    </row>
    <row r="11" ht="16.15" customHeight="1" spans="1:41">
      <c r="A11" s="24">
        <v>6</v>
      </c>
      <c r="B11" s="276" t="s">
        <v>178</v>
      </c>
      <c r="C11" s="95" t="s">
        <v>173</v>
      </c>
      <c r="D11" s="41">
        <v>30</v>
      </c>
      <c r="E11" s="29" t="str">
        <f t="shared" si="21"/>
        <v>W</v>
      </c>
      <c r="F11" s="49">
        <v>9</v>
      </c>
      <c r="G11" s="49" t="str">
        <f t="shared" si="0"/>
        <v>W</v>
      </c>
      <c r="H11" s="41">
        <v>61</v>
      </c>
      <c r="I11" s="29" t="str">
        <f t="shared" si="26"/>
        <v>C</v>
      </c>
      <c r="J11" s="41">
        <v>19</v>
      </c>
      <c r="K11" s="41" t="str">
        <f t="shared" si="22"/>
        <v>W</v>
      </c>
      <c r="L11" s="41">
        <v>12</v>
      </c>
      <c r="M11" s="41" t="str">
        <f t="shared" si="23"/>
        <v>W</v>
      </c>
      <c r="N11" s="41">
        <v>14</v>
      </c>
      <c r="O11" s="41" t="str">
        <f t="shared" si="2"/>
        <v>W</v>
      </c>
      <c r="P11" s="309">
        <v>16</v>
      </c>
      <c r="Q11" s="309" t="str">
        <f t="shared" si="24"/>
        <v>W</v>
      </c>
      <c r="R11" s="43">
        <v>12</v>
      </c>
      <c r="S11" s="43" t="str">
        <f t="shared" si="25"/>
        <v>W</v>
      </c>
      <c r="T11" s="43">
        <v>6</v>
      </c>
      <c r="U11" s="43" t="str">
        <f t="shared" si="27"/>
        <v>W</v>
      </c>
      <c r="V11" s="44">
        <v>19</v>
      </c>
      <c r="W11" s="44" t="str">
        <f t="shared" si="28"/>
        <v>W</v>
      </c>
      <c r="X11" s="44"/>
      <c r="Y11" s="44"/>
      <c r="Z11" s="44"/>
      <c r="AA11" s="44"/>
      <c r="AB11" s="99">
        <v>43</v>
      </c>
      <c r="AC11" s="99" t="str">
        <f t="shared" si="10"/>
        <v>S</v>
      </c>
      <c r="AD11" s="99">
        <v>40</v>
      </c>
      <c r="AE11" s="99" t="str">
        <f t="shared" si="20"/>
        <v>S</v>
      </c>
      <c r="AF11" s="100">
        <f t="shared" si="11"/>
        <v>281</v>
      </c>
      <c r="AG11" s="101">
        <f t="shared" si="12"/>
        <v>23.4166666666667</v>
      </c>
      <c r="AH11" s="100">
        <f t="shared" si="13"/>
        <v>25</v>
      </c>
      <c r="AI11" s="36">
        <f t="shared" si="14"/>
        <v>0</v>
      </c>
      <c r="AJ11" s="36">
        <f t="shared" si="15"/>
        <v>0</v>
      </c>
      <c r="AK11" s="36">
        <f t="shared" si="16"/>
        <v>1</v>
      </c>
      <c r="AL11" s="36">
        <f t="shared" si="17"/>
        <v>2</v>
      </c>
      <c r="AM11" s="36">
        <f t="shared" si="4"/>
        <v>9</v>
      </c>
      <c r="AN11" s="37">
        <f t="shared" si="18"/>
        <v>0</v>
      </c>
    </row>
    <row r="12" ht="16.15" customHeight="1" spans="1:41">
      <c r="A12" s="39">
        <v>7</v>
      </c>
      <c r="B12" s="276" t="s">
        <v>179</v>
      </c>
      <c r="C12" s="95" t="s">
        <v>173</v>
      </c>
      <c r="D12" s="41">
        <v>22</v>
      </c>
      <c r="E12" s="29" t="str">
        <f t="shared" si="21"/>
        <v>W</v>
      </c>
      <c r="F12" s="41">
        <v>3</v>
      </c>
      <c r="G12" s="49" t="str">
        <f t="shared" si="0"/>
        <v>W</v>
      </c>
      <c r="H12" s="41">
        <v>20</v>
      </c>
      <c r="I12" s="29" t="str">
        <f t="shared" si="26"/>
        <v>W</v>
      </c>
      <c r="J12" s="41">
        <v>5</v>
      </c>
      <c r="K12" s="41" t="str">
        <f t="shared" si="22"/>
        <v>W</v>
      </c>
      <c r="L12" s="41">
        <v>22</v>
      </c>
      <c r="M12" s="41" t="str">
        <f t="shared" si="23"/>
        <v>W</v>
      </c>
      <c r="N12" s="46" t="s">
        <v>29</v>
      </c>
      <c r="O12" s="41" t="s">
        <v>28</v>
      </c>
      <c r="P12" s="43">
        <v>19</v>
      </c>
      <c r="Q12" s="309" t="str">
        <f t="shared" si="24"/>
        <v>W</v>
      </c>
      <c r="R12" s="43">
        <v>22</v>
      </c>
      <c r="S12" s="43" t="str">
        <f t="shared" si="25"/>
        <v>W</v>
      </c>
      <c r="T12" s="43">
        <v>9</v>
      </c>
      <c r="U12" s="43" t="str">
        <f t="shared" si="27"/>
        <v>W</v>
      </c>
      <c r="V12" s="44">
        <v>20</v>
      </c>
      <c r="W12" s="44" t="str">
        <f t="shared" si="28"/>
        <v>W</v>
      </c>
      <c r="X12" s="44"/>
      <c r="Y12" s="44"/>
      <c r="Z12" s="44"/>
      <c r="AA12" s="44"/>
      <c r="AB12" s="99">
        <v>6</v>
      </c>
      <c r="AC12" s="99" t="str">
        <f t="shared" si="10"/>
        <v>W</v>
      </c>
      <c r="AD12" s="99">
        <v>35</v>
      </c>
      <c r="AE12" s="99" t="str">
        <f t="shared" si="20"/>
        <v>W</v>
      </c>
      <c r="AF12" s="100">
        <f t="shared" si="11"/>
        <v>183</v>
      </c>
      <c r="AG12" s="101">
        <f t="shared" si="12"/>
        <v>16.6363636363636</v>
      </c>
      <c r="AH12" s="100">
        <f t="shared" si="13"/>
        <v>27</v>
      </c>
      <c r="AI12" s="36">
        <f t="shared" si="14"/>
        <v>0</v>
      </c>
      <c r="AJ12" s="36">
        <f t="shared" si="15"/>
        <v>0</v>
      </c>
      <c r="AK12" s="36">
        <f t="shared" si="16"/>
        <v>0</v>
      </c>
      <c r="AL12" s="36">
        <f t="shared" si="17"/>
        <v>0</v>
      </c>
      <c r="AM12" s="36">
        <f t="shared" si="4"/>
        <v>12</v>
      </c>
      <c r="AN12" s="37">
        <f t="shared" si="18"/>
        <v>0.5</v>
      </c>
    </row>
    <row r="13" ht="16.15" customHeight="1" spans="1:41">
      <c r="A13" s="24">
        <v>8</v>
      </c>
      <c r="B13" s="276" t="s">
        <v>180</v>
      </c>
      <c r="C13" s="95" t="s">
        <v>173</v>
      </c>
      <c r="D13" s="29">
        <v>29</v>
      </c>
      <c r="E13" s="29" t="str">
        <f t="shared" si="21"/>
        <v>W</v>
      </c>
      <c r="F13" s="29">
        <v>11</v>
      </c>
      <c r="G13" s="49" t="str">
        <f t="shared" si="0"/>
        <v>W</v>
      </c>
      <c r="H13" s="29">
        <v>35</v>
      </c>
      <c r="I13" s="29" t="str">
        <f t="shared" si="26"/>
        <v>W</v>
      </c>
      <c r="J13" s="50">
        <v>34</v>
      </c>
      <c r="K13" s="41" t="str">
        <f t="shared" si="22"/>
        <v>W</v>
      </c>
      <c r="L13" s="41">
        <v>34</v>
      </c>
      <c r="M13" s="41" t="str">
        <f t="shared" si="23"/>
        <v>W</v>
      </c>
      <c r="N13" s="50">
        <v>30</v>
      </c>
      <c r="O13" s="41" t="str">
        <f t="shared" si="2"/>
        <v>W</v>
      </c>
      <c r="P13" s="51">
        <v>59</v>
      </c>
      <c r="Q13" s="309" t="str">
        <f t="shared" si="24"/>
        <v>C</v>
      </c>
      <c r="R13" s="51">
        <v>22</v>
      </c>
      <c r="S13" s="43" t="str">
        <f t="shared" si="25"/>
        <v>W</v>
      </c>
      <c r="T13" s="43">
        <v>4</v>
      </c>
      <c r="U13" s="43" t="str">
        <f t="shared" si="27"/>
        <v>W</v>
      </c>
      <c r="V13" s="52"/>
      <c r="W13" s="44"/>
      <c r="X13" s="52">
        <v>60</v>
      </c>
      <c r="Y13" s="44" t="str">
        <f t="shared" si="19"/>
        <v>C</v>
      </c>
      <c r="Z13" s="52"/>
      <c r="AA13" s="44"/>
      <c r="AB13" s="106">
        <v>56</v>
      </c>
      <c r="AC13" s="99" t="str">
        <f t="shared" ref="AC13:AC34" si="29">IF(AB13&gt;=75,"A",IF(AB13&gt;=65,"B",IF(AB13&gt;=50,"C",IF(AB13&gt;=40,"S","W"))))</f>
        <v>C</v>
      </c>
      <c r="AD13" s="106">
        <v>75</v>
      </c>
      <c r="AE13" s="99" t="str">
        <f t="shared" si="20"/>
        <v>A</v>
      </c>
      <c r="AF13" s="100">
        <f t="shared" si="11"/>
        <v>449</v>
      </c>
      <c r="AG13" s="101">
        <f t="shared" si="12"/>
        <v>37.4166666666667</v>
      </c>
      <c r="AH13" s="100">
        <f t="shared" si="13"/>
        <v>18</v>
      </c>
      <c r="AI13" s="36">
        <f t="shared" si="14"/>
        <v>1</v>
      </c>
      <c r="AJ13" s="36">
        <f t="shared" si="15"/>
        <v>0</v>
      </c>
      <c r="AK13" s="36">
        <f t="shared" si="16"/>
        <v>3</v>
      </c>
      <c r="AL13" s="36">
        <f t="shared" si="17"/>
        <v>0</v>
      </c>
      <c r="AM13" s="36">
        <f t="shared" si="4"/>
        <v>8</v>
      </c>
      <c r="AN13" s="37">
        <f t="shared" si="18"/>
        <v>0</v>
      </c>
    </row>
    <row r="14" ht="16.15" customHeight="1" spans="1:41">
      <c r="A14" s="39">
        <v>9</v>
      </c>
      <c r="B14" s="276" t="s">
        <v>181</v>
      </c>
      <c r="C14" s="95" t="s">
        <v>173</v>
      </c>
      <c r="D14" s="29">
        <v>30</v>
      </c>
      <c r="E14" s="29" t="str">
        <f t="shared" si="21"/>
        <v>W</v>
      </c>
      <c r="F14" s="29">
        <v>9</v>
      </c>
      <c r="G14" s="49" t="str">
        <f t="shared" si="0"/>
        <v>W</v>
      </c>
      <c r="H14" s="29">
        <v>22</v>
      </c>
      <c r="I14" s="29" t="str">
        <f t="shared" si="26"/>
        <v>W</v>
      </c>
      <c r="J14" s="29">
        <v>26</v>
      </c>
      <c r="K14" s="41" t="str">
        <f t="shared" si="22"/>
        <v>W</v>
      </c>
      <c r="L14" s="41">
        <v>30</v>
      </c>
      <c r="M14" s="41" t="str">
        <f t="shared" si="23"/>
        <v>W</v>
      </c>
      <c r="N14" s="29">
        <v>51</v>
      </c>
      <c r="O14" s="41" t="str">
        <f t="shared" si="2"/>
        <v>C</v>
      </c>
      <c r="P14" s="51">
        <v>39</v>
      </c>
      <c r="Q14" s="309" t="str">
        <f t="shared" si="24"/>
        <v>W</v>
      </c>
      <c r="R14" s="51">
        <v>18</v>
      </c>
      <c r="S14" s="43" t="str">
        <f t="shared" si="25"/>
        <v>W</v>
      </c>
      <c r="T14" s="43">
        <v>14</v>
      </c>
      <c r="U14" s="43" t="str">
        <f t="shared" si="27"/>
        <v>W</v>
      </c>
      <c r="V14" s="52"/>
      <c r="W14" s="44"/>
      <c r="X14" s="52"/>
      <c r="Y14" s="44"/>
      <c r="Z14" s="52">
        <v>52</v>
      </c>
      <c r="AA14" s="44" t="str">
        <f>IF(Z14&gt;=75,"A",IF(Z14&gt;=65,"B",IF(Z14&gt;=50,"C",IF(Z14&gt;=40,"S","W"))))</f>
        <v>C</v>
      </c>
      <c r="AB14" s="106">
        <v>50</v>
      </c>
      <c r="AC14" s="99" t="str">
        <f t="shared" si="29"/>
        <v>C</v>
      </c>
      <c r="AD14" s="106">
        <v>40</v>
      </c>
      <c r="AE14" s="99" t="str">
        <f t="shared" si="20"/>
        <v>S</v>
      </c>
      <c r="AF14" s="100">
        <f t="shared" si="11"/>
        <v>381</v>
      </c>
      <c r="AG14" s="101">
        <f t="shared" si="12"/>
        <v>31.75</v>
      </c>
      <c r="AH14" s="100">
        <f t="shared" si="13"/>
        <v>21</v>
      </c>
      <c r="AI14" s="36">
        <f t="shared" si="14"/>
        <v>0</v>
      </c>
      <c r="AJ14" s="36">
        <f t="shared" si="15"/>
        <v>0</v>
      </c>
      <c r="AK14" s="36">
        <f t="shared" si="16"/>
        <v>3</v>
      </c>
      <c r="AL14" s="36">
        <f t="shared" si="17"/>
        <v>1</v>
      </c>
      <c r="AM14" s="36">
        <f t="shared" si="4"/>
        <v>8</v>
      </c>
      <c r="AN14" s="37">
        <f t="shared" si="18"/>
        <v>0</v>
      </c>
    </row>
    <row r="15" ht="16.15" customHeight="1" spans="1:41">
      <c r="A15" s="24">
        <v>10</v>
      </c>
      <c r="B15" s="276" t="s">
        <v>182</v>
      </c>
      <c r="C15" s="95" t="s">
        <v>173</v>
      </c>
      <c r="D15" s="29">
        <v>53</v>
      </c>
      <c r="E15" s="29" t="str">
        <f t="shared" si="21"/>
        <v>C</v>
      </c>
      <c r="F15" s="29">
        <v>31</v>
      </c>
      <c r="G15" s="49" t="str">
        <f t="shared" si="0"/>
        <v>W</v>
      </c>
      <c r="H15" s="29">
        <v>41</v>
      </c>
      <c r="I15" s="29" t="str">
        <f t="shared" si="26"/>
        <v>S</v>
      </c>
      <c r="J15" s="29">
        <v>41</v>
      </c>
      <c r="K15" s="41" t="str">
        <f t="shared" si="22"/>
        <v>S</v>
      </c>
      <c r="L15" s="41">
        <v>33</v>
      </c>
      <c r="M15" s="41" t="str">
        <f t="shared" si="23"/>
        <v>W</v>
      </c>
      <c r="N15" s="29">
        <v>57</v>
      </c>
      <c r="O15" s="41" t="str">
        <f t="shared" si="2"/>
        <v>C</v>
      </c>
      <c r="P15" s="51">
        <v>72</v>
      </c>
      <c r="Q15" s="309" t="str">
        <f t="shared" si="24"/>
        <v>B</v>
      </c>
      <c r="R15" s="51">
        <v>56</v>
      </c>
      <c r="S15" s="43" t="str">
        <f t="shared" si="25"/>
        <v>C</v>
      </c>
      <c r="T15" s="43">
        <v>29</v>
      </c>
      <c r="U15" s="43" t="str">
        <f t="shared" si="27"/>
        <v>W</v>
      </c>
      <c r="V15" s="52">
        <v>42</v>
      </c>
      <c r="W15" s="44" t="str">
        <f t="shared" si="28"/>
        <v>S</v>
      </c>
      <c r="X15" s="52"/>
      <c r="Y15" s="44"/>
      <c r="Z15" s="52"/>
      <c r="AA15" s="44"/>
      <c r="AB15" s="106">
        <v>63</v>
      </c>
      <c r="AC15" s="99" t="str">
        <f t="shared" si="29"/>
        <v>C</v>
      </c>
      <c r="AD15" s="106">
        <v>97</v>
      </c>
      <c r="AE15" s="99" t="str">
        <f t="shared" si="20"/>
        <v>A</v>
      </c>
      <c r="AF15" s="100">
        <f t="shared" si="11"/>
        <v>615</v>
      </c>
      <c r="AG15" s="101">
        <f t="shared" si="12"/>
        <v>51.25</v>
      </c>
      <c r="AH15" s="100">
        <f t="shared" si="13"/>
        <v>10</v>
      </c>
      <c r="AI15" s="36">
        <f t="shared" si="14"/>
        <v>1</v>
      </c>
      <c r="AJ15" s="36">
        <f t="shared" si="15"/>
        <v>1</v>
      </c>
      <c r="AK15" s="36">
        <f t="shared" si="16"/>
        <v>4</v>
      </c>
      <c r="AL15" s="36">
        <f t="shared" si="17"/>
        <v>3</v>
      </c>
      <c r="AM15" s="36">
        <f t="shared" si="4"/>
        <v>3</v>
      </c>
      <c r="AN15" s="37">
        <f t="shared" si="18"/>
        <v>0</v>
      </c>
    </row>
    <row r="16" ht="16.15" customHeight="1" spans="1:41">
      <c r="A16" s="39">
        <v>11</v>
      </c>
      <c r="B16" s="276" t="s">
        <v>183</v>
      </c>
      <c r="C16" s="95" t="s">
        <v>173</v>
      </c>
      <c r="D16" s="29">
        <v>71</v>
      </c>
      <c r="E16" s="29" t="str">
        <f t="shared" si="21"/>
        <v>B</v>
      </c>
      <c r="F16" s="29">
        <v>42</v>
      </c>
      <c r="G16" s="49" t="str">
        <f t="shared" si="0"/>
        <v>S</v>
      </c>
      <c r="H16" s="29">
        <v>62</v>
      </c>
      <c r="I16" s="29" t="str">
        <f t="shared" si="26"/>
        <v>C</v>
      </c>
      <c r="J16" s="29">
        <v>61</v>
      </c>
      <c r="K16" s="41" t="str">
        <f t="shared" si="22"/>
        <v>C</v>
      </c>
      <c r="L16" s="49">
        <v>70</v>
      </c>
      <c r="M16" s="41" t="str">
        <f t="shared" si="23"/>
        <v>B</v>
      </c>
      <c r="N16" s="29">
        <v>60</v>
      </c>
      <c r="O16" s="41" t="str">
        <f t="shared" si="2"/>
        <v>C</v>
      </c>
      <c r="P16" s="332">
        <v>69</v>
      </c>
      <c r="Q16" s="309" t="str">
        <f t="shared" si="24"/>
        <v>B</v>
      </c>
      <c r="R16" s="51">
        <v>65</v>
      </c>
      <c r="S16" s="43" t="str">
        <f t="shared" si="25"/>
        <v>B</v>
      </c>
      <c r="T16" s="43">
        <v>22</v>
      </c>
      <c r="U16" s="43" t="str">
        <f t="shared" si="27"/>
        <v>W</v>
      </c>
      <c r="V16" s="52"/>
      <c r="W16" s="44"/>
      <c r="X16" s="52"/>
      <c r="Y16" s="44"/>
      <c r="Z16" s="52">
        <v>93</v>
      </c>
      <c r="AA16" s="44" t="str">
        <f>IF(Z16&gt;=75,"A",IF(Z16&gt;=65,"B",IF(Z16&gt;=50,"C",IF(Z16&gt;=40,"S","W"))))</f>
        <v>A</v>
      </c>
      <c r="AB16" s="106">
        <v>75</v>
      </c>
      <c r="AC16" s="99" t="str">
        <f t="shared" si="29"/>
        <v>A</v>
      </c>
      <c r="AD16" s="106">
        <v>50</v>
      </c>
      <c r="AE16" s="99" t="str">
        <f t="shared" si="20"/>
        <v>C</v>
      </c>
      <c r="AF16" s="100">
        <f t="shared" si="11"/>
        <v>740</v>
      </c>
      <c r="AG16" s="101">
        <f t="shared" si="12"/>
        <v>61.6666666666667</v>
      </c>
      <c r="AH16" s="100">
        <f t="shared" si="13"/>
        <v>6</v>
      </c>
      <c r="AI16" s="36">
        <f t="shared" si="14"/>
        <v>2</v>
      </c>
      <c r="AJ16" s="36">
        <f t="shared" si="15"/>
        <v>4</v>
      </c>
      <c r="AK16" s="36">
        <f t="shared" si="16"/>
        <v>4</v>
      </c>
      <c r="AL16" s="36">
        <f t="shared" si="17"/>
        <v>1</v>
      </c>
      <c r="AM16" s="36">
        <f t="shared" si="4"/>
        <v>1</v>
      </c>
      <c r="AN16" s="37">
        <f t="shared" si="18"/>
        <v>0</v>
      </c>
    </row>
    <row r="17" ht="16.15" customHeight="1" spans="1:40">
      <c r="A17" s="24">
        <v>12</v>
      </c>
      <c r="B17" s="276" t="s">
        <v>184</v>
      </c>
      <c r="C17" s="95" t="s">
        <v>173</v>
      </c>
      <c r="D17" s="50">
        <v>52</v>
      </c>
      <c r="E17" s="29" t="str">
        <f t="shared" si="21"/>
        <v>C</v>
      </c>
      <c r="F17" s="29">
        <v>42</v>
      </c>
      <c r="G17" s="49" t="str">
        <f t="shared" si="0"/>
        <v>S</v>
      </c>
      <c r="H17" s="29">
        <v>64</v>
      </c>
      <c r="I17" s="29" t="str">
        <f t="shared" si="26"/>
        <v>C</v>
      </c>
      <c r="J17" s="50">
        <v>52</v>
      </c>
      <c r="K17" s="41" t="str">
        <f t="shared" si="22"/>
        <v>C</v>
      </c>
      <c r="L17" s="49">
        <v>60</v>
      </c>
      <c r="M17" s="41" t="str">
        <f t="shared" si="23"/>
        <v>C</v>
      </c>
      <c r="N17" s="29">
        <v>88</v>
      </c>
      <c r="O17" s="41" t="str">
        <f t="shared" si="2"/>
        <v>A</v>
      </c>
      <c r="P17" s="332">
        <v>82</v>
      </c>
      <c r="Q17" s="309" t="str">
        <f t="shared" si="24"/>
        <v>A</v>
      </c>
      <c r="R17" s="51">
        <v>43</v>
      </c>
      <c r="S17" s="43" t="str">
        <f t="shared" si="25"/>
        <v>S</v>
      </c>
      <c r="T17" s="43">
        <v>62</v>
      </c>
      <c r="U17" s="43" t="str">
        <f t="shared" si="27"/>
        <v>C</v>
      </c>
      <c r="V17" s="52"/>
      <c r="W17" s="44"/>
      <c r="X17" s="52">
        <v>77</v>
      </c>
      <c r="Y17" s="44" t="str">
        <f t="shared" si="19"/>
        <v>A</v>
      </c>
      <c r="Z17" s="333"/>
      <c r="AA17" s="44"/>
      <c r="AB17" s="106">
        <v>79</v>
      </c>
      <c r="AC17" s="99" t="str">
        <f t="shared" si="29"/>
        <v>A</v>
      </c>
      <c r="AD17" s="106">
        <v>95</v>
      </c>
      <c r="AE17" s="99" t="str">
        <f t="shared" si="20"/>
        <v>A</v>
      </c>
      <c r="AF17" s="100">
        <f t="shared" si="11"/>
        <v>796</v>
      </c>
      <c r="AG17" s="101">
        <f t="shared" si="12"/>
        <v>66.3333333333333</v>
      </c>
      <c r="AH17" s="100">
        <f t="shared" si="13"/>
        <v>4</v>
      </c>
      <c r="AI17" s="36">
        <f t="shared" si="14"/>
        <v>5</v>
      </c>
      <c r="AJ17" s="36">
        <f t="shared" si="15"/>
        <v>0</v>
      </c>
      <c r="AK17" s="36">
        <f t="shared" si="16"/>
        <v>5</v>
      </c>
      <c r="AL17" s="36">
        <f t="shared" si="17"/>
        <v>2</v>
      </c>
      <c r="AM17" s="36">
        <f t="shared" si="4"/>
        <v>0</v>
      </c>
      <c r="AN17" s="37">
        <f t="shared" si="18"/>
        <v>0</v>
      </c>
    </row>
    <row r="18" ht="16.15" customHeight="1" spans="1:40">
      <c r="A18" s="39">
        <v>13</v>
      </c>
      <c r="B18" s="276" t="s">
        <v>185</v>
      </c>
      <c r="C18" s="95" t="s">
        <v>173</v>
      </c>
      <c r="D18" s="29">
        <v>40</v>
      </c>
      <c r="E18" s="29" t="str">
        <f t="shared" si="21"/>
        <v>S</v>
      </c>
      <c r="F18" s="29">
        <v>37</v>
      </c>
      <c r="G18" s="49" t="str">
        <f t="shared" si="0"/>
        <v>W</v>
      </c>
      <c r="H18" s="29">
        <v>51</v>
      </c>
      <c r="I18" s="29" t="str">
        <f t="shared" si="26"/>
        <v>C</v>
      </c>
      <c r="J18" s="29">
        <v>59</v>
      </c>
      <c r="K18" s="41" t="str">
        <f t="shared" si="22"/>
        <v>C</v>
      </c>
      <c r="L18" s="41">
        <v>66</v>
      </c>
      <c r="M18" s="41" t="str">
        <f t="shared" si="23"/>
        <v>B</v>
      </c>
      <c r="N18" s="29">
        <v>41</v>
      </c>
      <c r="O18" s="41" t="str">
        <f t="shared" si="2"/>
        <v>S</v>
      </c>
      <c r="P18" s="51">
        <v>51</v>
      </c>
      <c r="Q18" s="309" t="str">
        <f t="shared" si="24"/>
        <v>C</v>
      </c>
      <c r="R18" s="51">
        <v>27</v>
      </c>
      <c r="S18" s="43" t="str">
        <f t="shared" si="25"/>
        <v>W</v>
      </c>
      <c r="T18" s="43">
        <v>82</v>
      </c>
      <c r="U18" s="43" t="str">
        <f t="shared" si="27"/>
        <v>A</v>
      </c>
      <c r="V18" s="52"/>
      <c r="W18" s="44"/>
      <c r="X18" s="52">
        <v>79</v>
      </c>
      <c r="Y18" s="44" t="str">
        <f t="shared" si="19"/>
        <v>A</v>
      </c>
      <c r="Z18" s="52"/>
      <c r="AA18" s="44"/>
      <c r="AB18" s="106">
        <v>38</v>
      </c>
      <c r="AC18" s="99" t="str">
        <f t="shared" si="29"/>
        <v>W</v>
      </c>
      <c r="AD18" s="106">
        <v>90</v>
      </c>
      <c r="AE18" s="99" t="str">
        <f t="shared" si="20"/>
        <v>A</v>
      </c>
      <c r="AF18" s="100">
        <f t="shared" si="11"/>
        <v>661</v>
      </c>
      <c r="AG18" s="101">
        <f t="shared" si="12"/>
        <v>55.0833333333333</v>
      </c>
      <c r="AH18" s="100">
        <f t="shared" si="13"/>
        <v>8</v>
      </c>
      <c r="AI18" s="36">
        <f t="shared" si="14"/>
        <v>3</v>
      </c>
      <c r="AJ18" s="36">
        <f t="shared" si="15"/>
        <v>1</v>
      </c>
      <c r="AK18" s="36">
        <f t="shared" si="16"/>
        <v>3</v>
      </c>
      <c r="AL18" s="36">
        <f t="shared" si="17"/>
        <v>2</v>
      </c>
      <c r="AM18" s="36">
        <f t="shared" si="4"/>
        <v>3</v>
      </c>
      <c r="AN18" s="37">
        <f t="shared" si="18"/>
        <v>0</v>
      </c>
    </row>
    <row r="19" ht="16.15" customHeight="1" spans="1:40">
      <c r="A19" s="24">
        <v>14</v>
      </c>
      <c r="B19" s="276" t="s">
        <v>186</v>
      </c>
      <c r="C19" s="95" t="s">
        <v>173</v>
      </c>
      <c r="D19" s="29">
        <v>33</v>
      </c>
      <c r="E19" s="29" t="str">
        <f t="shared" si="21"/>
        <v>W</v>
      </c>
      <c r="F19" s="29">
        <v>5</v>
      </c>
      <c r="G19" s="49" t="str">
        <f t="shared" si="0"/>
        <v>W</v>
      </c>
      <c r="H19" s="29">
        <v>43</v>
      </c>
      <c r="I19" s="29" t="str">
        <f t="shared" si="26"/>
        <v>S</v>
      </c>
      <c r="J19" s="29">
        <v>32</v>
      </c>
      <c r="K19" s="41" t="str">
        <f t="shared" si="22"/>
        <v>W</v>
      </c>
      <c r="L19" s="41">
        <v>50</v>
      </c>
      <c r="M19" s="41" t="str">
        <f t="shared" si="23"/>
        <v>C</v>
      </c>
      <c r="N19" s="29">
        <v>39</v>
      </c>
      <c r="O19" s="41" t="str">
        <f t="shared" si="2"/>
        <v>W</v>
      </c>
      <c r="P19" s="51">
        <v>56</v>
      </c>
      <c r="Q19" s="309" t="str">
        <f t="shared" si="24"/>
        <v>C</v>
      </c>
      <c r="R19" s="51">
        <v>33</v>
      </c>
      <c r="S19" s="43" t="str">
        <f t="shared" si="25"/>
        <v>W</v>
      </c>
      <c r="T19" s="43">
        <v>22</v>
      </c>
      <c r="U19" s="43" t="str">
        <f t="shared" si="27"/>
        <v>W</v>
      </c>
      <c r="V19" s="52"/>
      <c r="W19" s="44"/>
      <c r="X19" s="52">
        <v>70</v>
      </c>
      <c r="Y19" s="44" t="str">
        <f t="shared" si="19"/>
        <v>B</v>
      </c>
      <c r="Z19" s="52"/>
      <c r="AA19" s="44"/>
      <c r="AB19" s="106">
        <v>71</v>
      </c>
      <c r="AC19" s="99" t="str">
        <f t="shared" si="29"/>
        <v>B</v>
      </c>
      <c r="AD19" s="106">
        <v>75</v>
      </c>
      <c r="AE19" s="99" t="str">
        <f t="shared" si="20"/>
        <v>A</v>
      </c>
      <c r="AF19" s="100">
        <f t="shared" si="11"/>
        <v>529</v>
      </c>
      <c r="AG19" s="101">
        <f t="shared" si="12"/>
        <v>44.0833333333333</v>
      </c>
      <c r="AH19" s="100">
        <f t="shared" si="13"/>
        <v>14</v>
      </c>
      <c r="AI19" s="36">
        <f t="shared" si="14"/>
        <v>1</v>
      </c>
      <c r="AJ19" s="36">
        <f t="shared" si="15"/>
        <v>2</v>
      </c>
      <c r="AK19" s="36">
        <f t="shared" si="16"/>
        <v>2</v>
      </c>
      <c r="AL19" s="36">
        <f t="shared" si="17"/>
        <v>1</v>
      </c>
      <c r="AM19" s="36">
        <f t="shared" si="4"/>
        <v>6</v>
      </c>
      <c r="AN19" s="37">
        <f t="shared" si="18"/>
        <v>0</v>
      </c>
    </row>
    <row r="20" ht="16.15" customHeight="1" spans="1:40">
      <c r="A20" s="39">
        <v>15</v>
      </c>
      <c r="B20" s="276" t="s">
        <v>187</v>
      </c>
      <c r="C20" s="95" t="s">
        <v>173</v>
      </c>
      <c r="D20" s="29">
        <v>48</v>
      </c>
      <c r="E20" s="29" t="str">
        <f t="shared" si="21"/>
        <v>S</v>
      </c>
      <c r="F20" s="29">
        <v>20</v>
      </c>
      <c r="G20" s="49" t="str">
        <f t="shared" si="0"/>
        <v>W</v>
      </c>
      <c r="H20" s="29">
        <v>48</v>
      </c>
      <c r="I20" s="29" t="str">
        <f t="shared" si="26"/>
        <v>S</v>
      </c>
      <c r="J20" s="29">
        <v>55</v>
      </c>
      <c r="K20" s="41" t="str">
        <f t="shared" si="22"/>
        <v>C</v>
      </c>
      <c r="L20" s="41">
        <v>36</v>
      </c>
      <c r="M20" s="41" t="str">
        <f t="shared" si="23"/>
        <v>W</v>
      </c>
      <c r="N20" s="29">
        <v>53</v>
      </c>
      <c r="O20" s="41" t="str">
        <f t="shared" si="2"/>
        <v>C</v>
      </c>
      <c r="P20" s="51">
        <v>75</v>
      </c>
      <c r="Q20" s="309" t="str">
        <f t="shared" si="24"/>
        <v>A</v>
      </c>
      <c r="R20" s="51">
        <v>42</v>
      </c>
      <c r="S20" s="43" t="str">
        <f t="shared" si="25"/>
        <v>S</v>
      </c>
      <c r="T20" s="43">
        <v>40</v>
      </c>
      <c r="U20" s="43" t="str">
        <f t="shared" si="27"/>
        <v>S</v>
      </c>
      <c r="V20" s="52"/>
      <c r="W20" s="44"/>
      <c r="X20" s="52">
        <v>77</v>
      </c>
      <c r="Y20" s="44" t="str">
        <f t="shared" si="19"/>
        <v>A</v>
      </c>
      <c r="Z20" s="52"/>
      <c r="AA20" s="44"/>
      <c r="AB20" s="106">
        <v>61</v>
      </c>
      <c r="AC20" s="99" t="str">
        <f t="shared" si="29"/>
        <v>C</v>
      </c>
      <c r="AD20" s="106">
        <v>90</v>
      </c>
      <c r="AE20" s="99" t="str">
        <f t="shared" si="20"/>
        <v>A</v>
      </c>
      <c r="AF20" s="100">
        <f t="shared" si="11"/>
        <v>645</v>
      </c>
      <c r="AG20" s="101">
        <f t="shared" si="12"/>
        <v>53.75</v>
      </c>
      <c r="AH20" s="100">
        <f t="shared" si="13"/>
        <v>9</v>
      </c>
      <c r="AI20" s="36">
        <f t="shared" si="14"/>
        <v>3</v>
      </c>
      <c r="AJ20" s="36">
        <f t="shared" si="15"/>
        <v>0</v>
      </c>
      <c r="AK20" s="36">
        <f t="shared" si="16"/>
        <v>3</v>
      </c>
      <c r="AL20" s="36">
        <f t="shared" si="17"/>
        <v>4</v>
      </c>
      <c r="AM20" s="36">
        <f t="shared" si="4"/>
        <v>2</v>
      </c>
      <c r="AN20" s="37">
        <f t="shared" si="18"/>
        <v>0</v>
      </c>
    </row>
    <row r="21" ht="16.15" customHeight="1" spans="1:40">
      <c r="A21" s="24">
        <v>16</v>
      </c>
      <c r="B21" s="276" t="s">
        <v>188</v>
      </c>
      <c r="C21" s="95" t="s">
        <v>173</v>
      </c>
      <c r="D21" s="29">
        <v>44</v>
      </c>
      <c r="E21" s="29" t="str">
        <f t="shared" si="21"/>
        <v>S</v>
      </c>
      <c r="F21" s="29">
        <v>23</v>
      </c>
      <c r="G21" s="49" t="str">
        <f t="shared" si="0"/>
        <v>W</v>
      </c>
      <c r="H21" s="29">
        <v>39</v>
      </c>
      <c r="I21" s="29" t="str">
        <f t="shared" si="26"/>
        <v>W</v>
      </c>
      <c r="J21" s="50">
        <v>42</v>
      </c>
      <c r="K21" s="41" t="str">
        <f t="shared" si="22"/>
        <v>S</v>
      </c>
      <c r="L21" s="41">
        <v>53</v>
      </c>
      <c r="M21" s="41" t="str">
        <f t="shared" si="23"/>
        <v>C</v>
      </c>
      <c r="N21" s="29">
        <v>40</v>
      </c>
      <c r="O21" s="41" t="str">
        <f t="shared" si="2"/>
        <v>S</v>
      </c>
      <c r="P21" s="51">
        <v>55</v>
      </c>
      <c r="Q21" s="309" t="str">
        <f t="shared" si="24"/>
        <v>C</v>
      </c>
      <c r="R21" s="51">
        <v>30</v>
      </c>
      <c r="S21" s="43" t="str">
        <f t="shared" si="25"/>
        <v>W</v>
      </c>
      <c r="T21" s="43">
        <v>48</v>
      </c>
      <c r="U21" s="43" t="str">
        <f t="shared" si="27"/>
        <v>S</v>
      </c>
      <c r="V21" s="52">
        <v>57</v>
      </c>
      <c r="W21" s="44" t="str">
        <f t="shared" si="28"/>
        <v>C</v>
      </c>
      <c r="X21" s="52"/>
      <c r="Y21" s="44"/>
      <c r="Z21" s="52"/>
      <c r="AA21" s="44"/>
      <c r="AB21" s="106">
        <v>42</v>
      </c>
      <c r="AC21" s="99" t="str">
        <f t="shared" si="29"/>
        <v>S</v>
      </c>
      <c r="AD21" s="334">
        <v>75</v>
      </c>
      <c r="AE21" s="99" t="str">
        <f t="shared" si="20"/>
        <v>A</v>
      </c>
      <c r="AF21" s="100">
        <f t="shared" si="11"/>
        <v>548</v>
      </c>
      <c r="AG21" s="101">
        <f t="shared" si="12"/>
        <v>45.6666666666667</v>
      </c>
      <c r="AH21" s="100">
        <f t="shared" si="13"/>
        <v>13</v>
      </c>
      <c r="AI21" s="36">
        <f t="shared" si="14"/>
        <v>1</v>
      </c>
      <c r="AJ21" s="36">
        <f t="shared" si="15"/>
        <v>0</v>
      </c>
      <c r="AK21" s="36">
        <f t="shared" si="16"/>
        <v>3</v>
      </c>
      <c r="AL21" s="36">
        <f t="shared" si="17"/>
        <v>5</v>
      </c>
      <c r="AM21" s="36">
        <f t="shared" si="4"/>
        <v>3</v>
      </c>
      <c r="AN21" s="37">
        <f t="shared" si="18"/>
        <v>0</v>
      </c>
    </row>
    <row r="22" ht="16.15" customHeight="1" spans="1:40">
      <c r="A22" s="24">
        <v>17</v>
      </c>
      <c r="B22" s="276" t="s">
        <v>189</v>
      </c>
      <c r="C22" s="95" t="s">
        <v>173</v>
      </c>
      <c r="D22" s="29">
        <v>28</v>
      </c>
      <c r="E22" s="29" t="str">
        <f t="shared" si="21"/>
        <v>W</v>
      </c>
      <c r="F22" s="29">
        <v>4</v>
      </c>
      <c r="G22" s="49" t="str">
        <f t="shared" si="0"/>
        <v>W</v>
      </c>
      <c r="H22" s="29">
        <v>26</v>
      </c>
      <c r="I22" s="29" t="str">
        <f t="shared" si="26"/>
        <v>W</v>
      </c>
      <c r="J22" s="50">
        <v>33</v>
      </c>
      <c r="K22" s="41" t="str">
        <f t="shared" si="22"/>
        <v>W</v>
      </c>
      <c r="L22" s="41">
        <v>22</v>
      </c>
      <c r="M22" s="41" t="str">
        <f t="shared" si="23"/>
        <v>W</v>
      </c>
      <c r="N22" s="29">
        <v>26</v>
      </c>
      <c r="O22" s="41" t="str">
        <f t="shared" si="2"/>
        <v>W</v>
      </c>
      <c r="P22" s="51">
        <v>48</v>
      </c>
      <c r="Q22" s="309" t="str">
        <f t="shared" si="24"/>
        <v>S</v>
      </c>
      <c r="R22" s="51">
        <v>18</v>
      </c>
      <c r="S22" s="43" t="str">
        <f t="shared" si="25"/>
        <v>W</v>
      </c>
      <c r="T22" s="43">
        <v>17</v>
      </c>
      <c r="U22" s="43" t="str">
        <f t="shared" si="27"/>
        <v>W</v>
      </c>
      <c r="V22" s="52"/>
      <c r="W22" s="44"/>
      <c r="X22" s="52">
        <v>71</v>
      </c>
      <c r="Y22" s="44" t="str">
        <f t="shared" si="19"/>
        <v>B</v>
      </c>
      <c r="Z22" s="52"/>
      <c r="AA22" s="44"/>
      <c r="AB22" s="106">
        <v>52</v>
      </c>
      <c r="AC22" s="99" t="str">
        <f t="shared" si="29"/>
        <v>C</v>
      </c>
      <c r="AD22" s="334">
        <v>90</v>
      </c>
      <c r="AE22" s="99" t="str">
        <f t="shared" si="20"/>
        <v>A</v>
      </c>
      <c r="AF22" s="100">
        <f t="shared" si="11"/>
        <v>435</v>
      </c>
      <c r="AG22" s="101">
        <f t="shared" si="12"/>
        <v>36.25</v>
      </c>
      <c r="AH22" s="100">
        <f t="shared" si="13"/>
        <v>19</v>
      </c>
      <c r="AI22" s="36">
        <f t="shared" si="14"/>
        <v>1</v>
      </c>
      <c r="AJ22" s="36">
        <f t="shared" si="15"/>
        <v>1</v>
      </c>
      <c r="AK22" s="36">
        <f t="shared" si="16"/>
        <v>1</v>
      </c>
      <c r="AL22" s="36">
        <f t="shared" si="17"/>
        <v>1</v>
      </c>
      <c r="AM22" s="36">
        <f t="shared" ref="AM22:AM34" si="30">COUNTIF(D22:AE22,"W")</f>
        <v>8</v>
      </c>
      <c r="AN22" s="37">
        <f t="shared" si="18"/>
        <v>0</v>
      </c>
    </row>
    <row r="23" ht="16.15" customHeight="1" spans="1:40">
      <c r="A23" s="39">
        <v>18</v>
      </c>
      <c r="B23" s="276" t="s">
        <v>190</v>
      </c>
      <c r="C23" s="95" t="s">
        <v>173</v>
      </c>
      <c r="D23" s="29">
        <v>53</v>
      </c>
      <c r="E23" s="29" t="str">
        <f t="shared" si="21"/>
        <v>C</v>
      </c>
      <c r="F23" s="29">
        <v>24</v>
      </c>
      <c r="G23" s="49" t="str">
        <f t="shared" si="0"/>
        <v>W</v>
      </c>
      <c r="H23" s="29">
        <v>47</v>
      </c>
      <c r="I23" s="29" t="str">
        <f t="shared" si="26"/>
        <v>S</v>
      </c>
      <c r="J23" s="50">
        <v>26</v>
      </c>
      <c r="K23" s="41" t="str">
        <f t="shared" si="22"/>
        <v>W</v>
      </c>
      <c r="L23" s="41">
        <v>32</v>
      </c>
      <c r="M23" s="41" t="str">
        <f t="shared" si="23"/>
        <v>W</v>
      </c>
      <c r="N23" s="29">
        <v>70</v>
      </c>
      <c r="O23" s="41" t="str">
        <f t="shared" si="2"/>
        <v>B</v>
      </c>
      <c r="P23" s="51">
        <v>58</v>
      </c>
      <c r="Q23" s="309" t="str">
        <f t="shared" si="24"/>
        <v>C</v>
      </c>
      <c r="R23" s="51">
        <v>23</v>
      </c>
      <c r="S23" s="43" t="str">
        <f t="shared" si="25"/>
        <v>W</v>
      </c>
      <c r="T23" s="43">
        <v>30</v>
      </c>
      <c r="U23" s="43" t="str">
        <f t="shared" si="27"/>
        <v>W</v>
      </c>
      <c r="V23" s="52"/>
      <c r="W23" s="44"/>
      <c r="X23" s="52">
        <v>66</v>
      </c>
      <c r="Y23" s="44" t="str">
        <f t="shared" si="19"/>
        <v>B</v>
      </c>
      <c r="Z23" s="52"/>
      <c r="AA23" s="44"/>
      <c r="AB23" s="106">
        <v>77</v>
      </c>
      <c r="AC23" s="99" t="str">
        <f t="shared" si="29"/>
        <v>A</v>
      </c>
      <c r="AD23" s="334">
        <v>85</v>
      </c>
      <c r="AE23" s="99" t="str">
        <f t="shared" si="20"/>
        <v>A</v>
      </c>
      <c r="AF23" s="100">
        <f t="shared" si="11"/>
        <v>591</v>
      </c>
      <c r="AG23" s="101">
        <f t="shared" si="12"/>
        <v>49.25</v>
      </c>
      <c r="AH23" s="100">
        <f t="shared" si="13"/>
        <v>11</v>
      </c>
      <c r="AI23" s="36">
        <f t="shared" si="14"/>
        <v>2</v>
      </c>
      <c r="AJ23" s="36">
        <f t="shared" si="15"/>
        <v>2</v>
      </c>
      <c r="AK23" s="36">
        <f t="shared" si="16"/>
        <v>2</v>
      </c>
      <c r="AL23" s="36">
        <f t="shared" si="17"/>
        <v>1</v>
      </c>
      <c r="AM23" s="36">
        <f t="shared" si="30"/>
        <v>5</v>
      </c>
      <c r="AN23" s="37">
        <f t="shared" si="18"/>
        <v>0</v>
      </c>
    </row>
    <row r="24" ht="16.15" customHeight="1" spans="1:40">
      <c r="A24" s="24">
        <v>19</v>
      </c>
      <c r="B24" s="276" t="s">
        <v>191</v>
      </c>
      <c r="C24" s="95" t="s">
        <v>173</v>
      </c>
      <c r="D24" s="29">
        <v>13</v>
      </c>
      <c r="E24" s="29" t="str">
        <f t="shared" si="21"/>
        <v>W</v>
      </c>
      <c r="F24" s="29">
        <v>5</v>
      </c>
      <c r="G24" s="49" t="str">
        <f t="shared" si="0"/>
        <v>W</v>
      </c>
      <c r="H24" s="29">
        <v>25</v>
      </c>
      <c r="I24" s="29" t="str">
        <f t="shared" si="26"/>
        <v>W</v>
      </c>
      <c r="J24" s="50">
        <v>11</v>
      </c>
      <c r="K24" s="41" t="str">
        <f t="shared" si="22"/>
        <v>W</v>
      </c>
      <c r="L24" s="41">
        <v>23</v>
      </c>
      <c r="M24" s="41" t="str">
        <f t="shared" si="23"/>
        <v>W</v>
      </c>
      <c r="N24" s="29">
        <v>50</v>
      </c>
      <c r="O24" s="41" t="str">
        <f t="shared" si="2"/>
        <v>C</v>
      </c>
      <c r="P24" s="51">
        <v>33</v>
      </c>
      <c r="Q24" s="309" t="str">
        <f t="shared" si="24"/>
        <v>W</v>
      </c>
      <c r="R24" s="51">
        <v>17</v>
      </c>
      <c r="S24" s="43" t="str">
        <f t="shared" si="25"/>
        <v>W</v>
      </c>
      <c r="T24" s="43">
        <v>11</v>
      </c>
      <c r="U24" s="43" t="str">
        <f t="shared" si="27"/>
        <v>W</v>
      </c>
      <c r="V24" s="52"/>
      <c r="W24" s="44"/>
      <c r="X24" s="52">
        <v>56</v>
      </c>
      <c r="Y24" s="44" t="str">
        <f t="shared" si="19"/>
        <v>C</v>
      </c>
      <c r="Z24" s="52"/>
      <c r="AA24" s="44"/>
      <c r="AB24" s="106">
        <v>39</v>
      </c>
      <c r="AC24" s="99" t="str">
        <f t="shared" si="29"/>
        <v>W</v>
      </c>
      <c r="AD24" s="334">
        <v>70</v>
      </c>
      <c r="AE24" s="99" t="str">
        <f t="shared" si="20"/>
        <v>B</v>
      </c>
      <c r="AF24" s="100">
        <f t="shared" si="11"/>
        <v>353</v>
      </c>
      <c r="AG24" s="101">
        <f t="shared" si="12"/>
        <v>29.4166666666667</v>
      </c>
      <c r="AH24" s="100">
        <f t="shared" si="13"/>
        <v>22</v>
      </c>
      <c r="AI24" s="36">
        <f t="shared" si="14"/>
        <v>0</v>
      </c>
      <c r="AJ24" s="36">
        <f t="shared" si="15"/>
        <v>1</v>
      </c>
      <c r="AK24" s="36">
        <f t="shared" si="16"/>
        <v>2</v>
      </c>
      <c r="AL24" s="36">
        <f t="shared" si="17"/>
        <v>0</v>
      </c>
      <c r="AM24" s="36">
        <f t="shared" si="30"/>
        <v>9</v>
      </c>
      <c r="AN24" s="37">
        <f t="shared" si="18"/>
        <v>0</v>
      </c>
    </row>
    <row r="25" ht="16.15" customHeight="1" spans="1:40">
      <c r="A25" s="39">
        <v>20</v>
      </c>
      <c r="B25" s="276" t="s">
        <v>192</v>
      </c>
      <c r="C25" s="95" t="s">
        <v>173</v>
      </c>
      <c r="D25" s="29">
        <v>53</v>
      </c>
      <c r="E25" s="29" t="str">
        <f t="shared" si="21"/>
        <v>C</v>
      </c>
      <c r="F25" s="29">
        <v>46</v>
      </c>
      <c r="G25" s="49" t="str">
        <f t="shared" si="0"/>
        <v>S</v>
      </c>
      <c r="H25" s="29">
        <v>73</v>
      </c>
      <c r="I25" s="29" t="str">
        <f t="shared" si="26"/>
        <v>B</v>
      </c>
      <c r="J25" s="50">
        <v>75</v>
      </c>
      <c r="K25" s="41" t="str">
        <f t="shared" si="22"/>
        <v>A</v>
      </c>
      <c r="L25" s="41">
        <v>66</v>
      </c>
      <c r="M25" s="41" t="str">
        <f t="shared" si="23"/>
        <v>B</v>
      </c>
      <c r="N25" s="29">
        <v>99</v>
      </c>
      <c r="O25" s="41" t="str">
        <f t="shared" si="2"/>
        <v>A</v>
      </c>
      <c r="P25" s="51">
        <v>84</v>
      </c>
      <c r="Q25" s="309" t="str">
        <f t="shared" si="24"/>
        <v>A</v>
      </c>
      <c r="R25" s="51">
        <v>44</v>
      </c>
      <c r="S25" s="43" t="str">
        <f t="shared" si="25"/>
        <v>S</v>
      </c>
      <c r="T25" s="43">
        <v>40</v>
      </c>
      <c r="U25" s="43" t="str">
        <f t="shared" si="27"/>
        <v>S</v>
      </c>
      <c r="V25" s="52">
        <v>42</v>
      </c>
      <c r="W25" s="44"/>
      <c r="X25" s="52"/>
      <c r="Y25" s="44"/>
      <c r="Z25" s="52"/>
      <c r="AA25" s="44"/>
      <c r="AB25" s="106">
        <v>77</v>
      </c>
      <c r="AC25" s="99" t="str">
        <f t="shared" si="29"/>
        <v>A</v>
      </c>
      <c r="AD25" s="334">
        <v>98</v>
      </c>
      <c r="AE25" s="99" t="str">
        <f t="shared" si="20"/>
        <v>A</v>
      </c>
      <c r="AF25" s="100">
        <f t="shared" si="11"/>
        <v>797</v>
      </c>
      <c r="AG25" s="101">
        <f t="shared" si="12"/>
        <v>66.4166666666667</v>
      </c>
      <c r="AH25" s="100">
        <f t="shared" si="13"/>
        <v>3</v>
      </c>
      <c r="AI25" s="36">
        <f t="shared" si="14"/>
        <v>5</v>
      </c>
      <c r="AJ25" s="36">
        <f t="shared" si="15"/>
        <v>2</v>
      </c>
      <c r="AK25" s="36">
        <f t="shared" si="16"/>
        <v>1</v>
      </c>
      <c r="AL25" s="36">
        <f t="shared" si="17"/>
        <v>3</v>
      </c>
      <c r="AM25" s="36">
        <f t="shared" si="30"/>
        <v>0</v>
      </c>
      <c r="AN25" s="37">
        <f t="shared" si="18"/>
        <v>0</v>
      </c>
    </row>
    <row r="26" ht="16.15" customHeight="1" spans="1:40">
      <c r="A26" s="24">
        <v>21</v>
      </c>
      <c r="B26" s="276" t="s">
        <v>193</v>
      </c>
      <c r="C26" s="95" t="s">
        <v>173</v>
      </c>
      <c r="D26" s="29">
        <v>40</v>
      </c>
      <c r="E26" s="29" t="str">
        <f t="shared" si="21"/>
        <v>S</v>
      </c>
      <c r="F26" s="29">
        <v>19</v>
      </c>
      <c r="G26" s="49" t="str">
        <f t="shared" si="0"/>
        <v>W</v>
      </c>
      <c r="H26" s="29">
        <v>46</v>
      </c>
      <c r="I26" s="29" t="str">
        <f t="shared" si="26"/>
        <v>S</v>
      </c>
      <c r="J26" s="50">
        <v>40</v>
      </c>
      <c r="K26" s="41" t="str">
        <f t="shared" si="22"/>
        <v>S</v>
      </c>
      <c r="L26" s="41">
        <v>40</v>
      </c>
      <c r="M26" s="41" t="str">
        <f t="shared" si="23"/>
        <v>S</v>
      </c>
      <c r="N26" s="29">
        <v>60</v>
      </c>
      <c r="O26" s="41" t="str">
        <f t="shared" si="2"/>
        <v>C</v>
      </c>
      <c r="P26" s="51">
        <v>70</v>
      </c>
      <c r="Q26" s="309" t="str">
        <f t="shared" si="24"/>
        <v>B</v>
      </c>
      <c r="R26" s="51">
        <v>38</v>
      </c>
      <c r="S26" s="43" t="str">
        <f t="shared" si="25"/>
        <v>W</v>
      </c>
      <c r="T26" s="43">
        <v>18</v>
      </c>
      <c r="U26" s="43" t="str">
        <f t="shared" si="27"/>
        <v>W</v>
      </c>
      <c r="V26" s="52"/>
      <c r="W26" s="44"/>
      <c r="X26" s="52"/>
      <c r="Y26" s="44"/>
      <c r="Z26" s="52">
        <v>43</v>
      </c>
      <c r="AA26" s="44" t="str">
        <f>IF(Z26&gt;=75,"A",IF(Z26&gt;=65,"B",IF(Z26&gt;=50,"C",IF(Z26&gt;=40,"S","W"))))</f>
        <v>S</v>
      </c>
      <c r="AB26" s="106">
        <v>76</v>
      </c>
      <c r="AC26" s="99" t="str">
        <f t="shared" si="29"/>
        <v>A</v>
      </c>
      <c r="AD26" s="334">
        <v>75</v>
      </c>
      <c r="AE26" s="99" t="str">
        <f t="shared" si="20"/>
        <v>A</v>
      </c>
      <c r="AF26" s="100">
        <f t="shared" si="11"/>
        <v>565</v>
      </c>
      <c r="AG26" s="101">
        <f t="shared" si="12"/>
        <v>47.0833333333333</v>
      </c>
      <c r="AH26" s="100">
        <f t="shared" si="13"/>
        <v>12</v>
      </c>
      <c r="AI26" s="36">
        <f t="shared" si="14"/>
        <v>2</v>
      </c>
      <c r="AJ26" s="36">
        <f t="shared" si="15"/>
        <v>1</v>
      </c>
      <c r="AK26" s="36">
        <f t="shared" si="16"/>
        <v>1</v>
      </c>
      <c r="AL26" s="36">
        <f t="shared" si="17"/>
        <v>5</v>
      </c>
      <c r="AM26" s="36">
        <f t="shared" si="30"/>
        <v>3</v>
      </c>
      <c r="AN26" s="37">
        <f t="shared" si="18"/>
        <v>0</v>
      </c>
    </row>
    <row r="27" ht="16.15" customHeight="1" spans="1:40">
      <c r="A27" s="39">
        <v>22</v>
      </c>
      <c r="B27" s="276" t="s">
        <v>194</v>
      </c>
      <c r="C27" s="95" t="s">
        <v>173</v>
      </c>
      <c r="D27" s="29">
        <v>57</v>
      </c>
      <c r="E27" s="29" t="str">
        <f t="shared" si="21"/>
        <v>C</v>
      </c>
      <c r="F27" s="29">
        <v>52</v>
      </c>
      <c r="G27" s="49" t="str">
        <f t="shared" si="0"/>
        <v>C</v>
      </c>
      <c r="H27" s="29">
        <v>61</v>
      </c>
      <c r="I27" s="29" t="str">
        <f t="shared" si="26"/>
        <v>C</v>
      </c>
      <c r="J27" s="50">
        <v>61</v>
      </c>
      <c r="K27" s="41" t="str">
        <f t="shared" si="22"/>
        <v>C</v>
      </c>
      <c r="L27" s="41">
        <v>76</v>
      </c>
      <c r="M27" s="41" t="str">
        <f t="shared" si="23"/>
        <v>A</v>
      </c>
      <c r="N27" s="29">
        <v>75</v>
      </c>
      <c r="O27" s="41" t="str">
        <f t="shared" si="2"/>
        <v>A</v>
      </c>
      <c r="P27" s="51">
        <v>79</v>
      </c>
      <c r="Q27" s="309" t="str">
        <f t="shared" si="24"/>
        <v>A</v>
      </c>
      <c r="R27" s="51">
        <v>51</v>
      </c>
      <c r="S27" s="43" t="str">
        <f t="shared" si="25"/>
        <v>C</v>
      </c>
      <c r="T27" s="43">
        <v>60</v>
      </c>
      <c r="U27" s="43" t="str">
        <f t="shared" si="27"/>
        <v>C</v>
      </c>
      <c r="V27" s="52"/>
      <c r="W27" s="44"/>
      <c r="X27" s="52">
        <v>80</v>
      </c>
      <c r="Y27" s="44" t="str">
        <f t="shared" si="19"/>
        <v>A</v>
      </c>
      <c r="Z27" s="52"/>
      <c r="AA27" s="44"/>
      <c r="AB27" s="106">
        <v>83</v>
      </c>
      <c r="AC27" s="99" t="str">
        <f t="shared" si="29"/>
        <v>A</v>
      </c>
      <c r="AD27" s="334">
        <v>80</v>
      </c>
      <c r="AE27" s="99" t="str">
        <f t="shared" si="20"/>
        <v>A</v>
      </c>
      <c r="AF27" s="100">
        <f t="shared" si="11"/>
        <v>815</v>
      </c>
      <c r="AG27" s="101">
        <f t="shared" si="12"/>
        <v>67.9166666666667</v>
      </c>
      <c r="AH27" s="100">
        <f t="shared" si="13"/>
        <v>2</v>
      </c>
      <c r="AI27" s="36">
        <f t="shared" si="14"/>
        <v>6</v>
      </c>
      <c r="AJ27" s="36">
        <f t="shared" si="15"/>
        <v>0</v>
      </c>
      <c r="AK27" s="36">
        <f t="shared" si="16"/>
        <v>6</v>
      </c>
      <c r="AL27" s="36">
        <f t="shared" si="17"/>
        <v>0</v>
      </c>
      <c r="AM27" s="36">
        <f t="shared" si="30"/>
        <v>0</v>
      </c>
      <c r="AN27" s="37">
        <f t="shared" si="18"/>
        <v>0</v>
      </c>
    </row>
    <row r="28" ht="16.15" customHeight="1" spans="1:40">
      <c r="A28" s="24">
        <v>23</v>
      </c>
      <c r="B28" s="276" t="s">
        <v>195</v>
      </c>
      <c r="C28" s="95" t="s">
        <v>173</v>
      </c>
      <c r="D28" s="29">
        <v>39</v>
      </c>
      <c r="E28" s="29" t="str">
        <f t="shared" si="21"/>
        <v>W</v>
      </c>
      <c r="F28" s="29">
        <v>10</v>
      </c>
      <c r="G28" s="49" t="str">
        <f t="shared" si="0"/>
        <v>W</v>
      </c>
      <c r="H28" s="29">
        <v>32</v>
      </c>
      <c r="I28" s="29" t="str">
        <f t="shared" si="26"/>
        <v>W</v>
      </c>
      <c r="J28" s="50">
        <v>55</v>
      </c>
      <c r="K28" s="41" t="str">
        <f t="shared" si="22"/>
        <v>C</v>
      </c>
      <c r="L28" s="41">
        <v>39</v>
      </c>
      <c r="M28" s="41" t="str">
        <f t="shared" si="23"/>
        <v>W</v>
      </c>
      <c r="N28" s="29">
        <v>58</v>
      </c>
      <c r="O28" s="41" t="str">
        <f t="shared" si="2"/>
        <v>C</v>
      </c>
      <c r="P28" s="51">
        <v>29</v>
      </c>
      <c r="Q28" s="309" t="str">
        <f t="shared" si="24"/>
        <v>W</v>
      </c>
      <c r="R28" s="51">
        <v>29</v>
      </c>
      <c r="S28" s="43" t="str">
        <f t="shared" si="25"/>
        <v>W</v>
      </c>
      <c r="T28" s="43">
        <v>27</v>
      </c>
      <c r="U28" s="43" t="str">
        <f t="shared" si="27"/>
        <v>W</v>
      </c>
      <c r="V28" s="52"/>
      <c r="W28" s="44"/>
      <c r="X28" s="52">
        <v>67</v>
      </c>
      <c r="Y28" s="44" t="str">
        <f t="shared" si="19"/>
        <v>B</v>
      </c>
      <c r="Z28" s="52"/>
      <c r="AA28" s="44"/>
      <c r="AB28" s="106">
        <v>29</v>
      </c>
      <c r="AC28" s="99" t="str">
        <f t="shared" si="29"/>
        <v>W</v>
      </c>
      <c r="AD28" s="334">
        <v>70</v>
      </c>
      <c r="AE28" s="99" t="str">
        <f t="shared" si="20"/>
        <v>B</v>
      </c>
      <c r="AF28" s="100">
        <f t="shared" si="11"/>
        <v>484</v>
      </c>
      <c r="AG28" s="101">
        <f t="shared" si="12"/>
        <v>40.3333333333333</v>
      </c>
      <c r="AH28" s="100">
        <f t="shared" si="13"/>
        <v>16</v>
      </c>
      <c r="AI28" s="36">
        <f t="shared" si="14"/>
        <v>0</v>
      </c>
      <c r="AJ28" s="36">
        <f t="shared" si="15"/>
        <v>2</v>
      </c>
      <c r="AK28" s="36">
        <f t="shared" si="16"/>
        <v>2</v>
      </c>
      <c r="AL28" s="36">
        <f t="shared" si="17"/>
        <v>0</v>
      </c>
      <c r="AM28" s="36">
        <f t="shared" si="30"/>
        <v>8</v>
      </c>
      <c r="AN28" s="37">
        <f t="shared" si="18"/>
        <v>0</v>
      </c>
    </row>
    <row r="29" ht="16.15" customHeight="1" spans="1:40">
      <c r="A29" s="39">
        <v>24</v>
      </c>
      <c r="B29" s="276" t="s">
        <v>196</v>
      </c>
      <c r="C29" s="95" t="s">
        <v>173</v>
      </c>
      <c r="D29" s="29">
        <v>63</v>
      </c>
      <c r="E29" s="29" t="str">
        <f t="shared" si="21"/>
        <v>C</v>
      </c>
      <c r="F29" s="29">
        <v>33</v>
      </c>
      <c r="G29" s="49" t="str">
        <f t="shared" si="0"/>
        <v>W</v>
      </c>
      <c r="H29" s="29">
        <v>63</v>
      </c>
      <c r="I29" s="29" t="str">
        <f t="shared" si="26"/>
        <v>C</v>
      </c>
      <c r="J29" s="50">
        <v>89</v>
      </c>
      <c r="K29" s="41" t="str">
        <f t="shared" si="22"/>
        <v>A</v>
      </c>
      <c r="L29" s="41">
        <v>69</v>
      </c>
      <c r="M29" s="41" t="str">
        <f t="shared" si="23"/>
        <v>B</v>
      </c>
      <c r="N29" s="29">
        <v>52</v>
      </c>
      <c r="O29" s="41" t="str">
        <f t="shared" si="2"/>
        <v>C</v>
      </c>
      <c r="P29" s="51">
        <v>72</v>
      </c>
      <c r="Q29" s="309" t="str">
        <f t="shared" si="24"/>
        <v>B</v>
      </c>
      <c r="R29" s="51">
        <v>55</v>
      </c>
      <c r="S29" s="43" t="str">
        <f t="shared" si="25"/>
        <v>C</v>
      </c>
      <c r="T29" s="43">
        <v>92</v>
      </c>
      <c r="U29" s="43" t="str">
        <f t="shared" si="27"/>
        <v>A</v>
      </c>
      <c r="V29" s="52">
        <v>72</v>
      </c>
      <c r="W29" s="44" t="str">
        <f t="shared" si="28"/>
        <v>B</v>
      </c>
      <c r="X29" s="52"/>
      <c r="Y29" s="44"/>
      <c r="Z29" s="52"/>
      <c r="AA29" s="44"/>
      <c r="AB29" s="106">
        <v>80</v>
      </c>
      <c r="AC29" s="99" t="str">
        <f t="shared" si="29"/>
        <v>A</v>
      </c>
      <c r="AD29" s="334">
        <v>95</v>
      </c>
      <c r="AE29" s="99" t="str">
        <f t="shared" si="20"/>
        <v>A</v>
      </c>
      <c r="AF29" s="100">
        <f t="shared" si="11"/>
        <v>835</v>
      </c>
      <c r="AG29" s="101">
        <f t="shared" si="12"/>
        <v>69.5833333333333</v>
      </c>
      <c r="AH29" s="100">
        <f t="shared" si="13"/>
        <v>1</v>
      </c>
      <c r="AI29" s="36">
        <f t="shared" si="14"/>
        <v>4</v>
      </c>
      <c r="AJ29" s="36">
        <f t="shared" si="15"/>
        <v>3</v>
      </c>
      <c r="AK29" s="36">
        <f t="shared" si="16"/>
        <v>4</v>
      </c>
      <c r="AL29" s="36">
        <f t="shared" si="17"/>
        <v>0</v>
      </c>
      <c r="AM29" s="36">
        <f t="shared" si="30"/>
        <v>1</v>
      </c>
      <c r="AN29" s="37">
        <f t="shared" si="18"/>
        <v>0</v>
      </c>
    </row>
    <row r="30" ht="16.15" customHeight="1" spans="1:40">
      <c r="A30" s="24">
        <v>25</v>
      </c>
      <c r="B30" s="276" t="s">
        <v>197</v>
      </c>
      <c r="C30" s="95" t="s">
        <v>173</v>
      </c>
      <c r="D30" s="335" t="s">
        <v>29</v>
      </c>
      <c r="E30" s="335" t="s">
        <v>29</v>
      </c>
      <c r="F30" s="335" t="s">
        <v>29</v>
      </c>
      <c r="G30" s="335" t="s">
        <v>29</v>
      </c>
      <c r="H30" s="335" t="s">
        <v>29</v>
      </c>
      <c r="I30" s="335" t="s">
        <v>29</v>
      </c>
      <c r="J30" s="50">
        <v>15</v>
      </c>
      <c r="K30" s="41" t="str">
        <f t="shared" si="22"/>
        <v>W</v>
      </c>
      <c r="L30" s="46" t="s">
        <v>29</v>
      </c>
      <c r="M30" s="46" t="s">
        <v>29</v>
      </c>
      <c r="N30" s="46" t="s">
        <v>29</v>
      </c>
      <c r="O30" s="41" t="str">
        <f t="shared" si="2"/>
        <v>A</v>
      </c>
      <c r="P30" s="336" t="s">
        <v>29</v>
      </c>
      <c r="Q30" s="336" t="s">
        <v>29</v>
      </c>
      <c r="R30" s="336" t="s">
        <v>29</v>
      </c>
      <c r="S30" s="336" t="s">
        <v>29</v>
      </c>
      <c r="T30" s="336" t="s">
        <v>29</v>
      </c>
      <c r="U30" s="336" t="s">
        <v>29</v>
      </c>
      <c r="V30" s="52"/>
      <c r="W30" s="44"/>
      <c r="X30" s="333" t="s">
        <v>29</v>
      </c>
      <c r="Y30" s="333" t="s">
        <v>29</v>
      </c>
      <c r="Z30" s="52"/>
      <c r="AA30" s="44"/>
      <c r="AB30" s="337" t="s">
        <v>29</v>
      </c>
      <c r="AC30" s="337" t="s">
        <v>29</v>
      </c>
      <c r="AD30" s="337" t="s">
        <v>29</v>
      </c>
      <c r="AE30" s="337" t="s">
        <v>29</v>
      </c>
      <c r="AF30" s="100">
        <f t="shared" si="11"/>
        <v>15</v>
      </c>
      <c r="AG30" s="101">
        <f t="shared" si="12"/>
        <v>15</v>
      </c>
      <c r="AH30" s="100">
        <f t="shared" si="13"/>
        <v>29</v>
      </c>
      <c r="AI30" s="36">
        <f t="shared" si="14"/>
        <v>1</v>
      </c>
      <c r="AJ30" s="36">
        <f t="shared" si="15"/>
        <v>0</v>
      </c>
      <c r="AK30" s="36">
        <f t="shared" si="16"/>
        <v>0</v>
      </c>
      <c r="AL30" s="36">
        <f t="shared" si="17"/>
        <v>0</v>
      </c>
      <c r="AM30" s="36">
        <f t="shared" si="30"/>
        <v>1</v>
      </c>
      <c r="AN30" s="37">
        <f t="shared" si="18"/>
        <v>10.5</v>
      </c>
    </row>
    <row r="31" ht="16.15" customHeight="1" spans="1:40">
      <c r="A31" s="39">
        <v>26</v>
      </c>
      <c r="B31" s="276" t="s">
        <v>198</v>
      </c>
      <c r="C31" s="95" t="s">
        <v>173</v>
      </c>
      <c r="D31" s="50">
        <v>35</v>
      </c>
      <c r="E31" s="29" t="str">
        <f t="shared" si="21"/>
        <v>W</v>
      </c>
      <c r="F31" s="50">
        <v>16</v>
      </c>
      <c r="G31" s="49" t="str">
        <f t="shared" si="0"/>
        <v>W</v>
      </c>
      <c r="H31" s="29">
        <v>42</v>
      </c>
      <c r="I31" s="29" t="str">
        <f t="shared" si="26"/>
        <v>S</v>
      </c>
      <c r="J31" s="50">
        <v>35</v>
      </c>
      <c r="K31" s="41" t="str">
        <f t="shared" si="22"/>
        <v>W</v>
      </c>
      <c r="L31" s="50">
        <v>26</v>
      </c>
      <c r="M31" s="41" t="str">
        <f t="shared" si="23"/>
        <v>W</v>
      </c>
      <c r="N31" s="335">
        <v>35</v>
      </c>
      <c r="O31" s="41" t="str">
        <f t="shared" si="2"/>
        <v>W</v>
      </c>
      <c r="P31" s="332">
        <v>52</v>
      </c>
      <c r="Q31" s="309" t="str">
        <f t="shared" si="24"/>
        <v>C</v>
      </c>
      <c r="R31" s="51">
        <v>43</v>
      </c>
      <c r="S31" s="43" t="str">
        <f t="shared" si="25"/>
        <v>S</v>
      </c>
      <c r="T31" s="332">
        <v>13</v>
      </c>
      <c r="U31" s="43" t="str">
        <f t="shared" si="27"/>
        <v>W</v>
      </c>
      <c r="V31" s="52"/>
      <c r="W31" s="44"/>
      <c r="X31" s="389">
        <v>75</v>
      </c>
      <c r="Y31" s="44" t="str">
        <f t="shared" si="19"/>
        <v>A</v>
      </c>
      <c r="Z31" s="52"/>
      <c r="AA31" s="44"/>
      <c r="AB31" s="334">
        <v>55</v>
      </c>
      <c r="AC31" s="99" t="str">
        <f t="shared" si="29"/>
        <v>C</v>
      </c>
      <c r="AD31" s="334">
        <v>75</v>
      </c>
      <c r="AE31" s="99" t="str">
        <f t="shared" si="20"/>
        <v>A</v>
      </c>
      <c r="AF31" s="100">
        <f t="shared" si="11"/>
        <v>502</v>
      </c>
      <c r="AG31" s="101">
        <f t="shared" si="12"/>
        <v>41.8333333333333</v>
      </c>
      <c r="AH31" s="100">
        <f t="shared" si="13"/>
        <v>15</v>
      </c>
      <c r="AI31" s="36">
        <f t="shared" si="14"/>
        <v>2</v>
      </c>
      <c r="AJ31" s="36">
        <f t="shared" si="15"/>
        <v>0</v>
      </c>
      <c r="AK31" s="36">
        <f t="shared" si="16"/>
        <v>2</v>
      </c>
      <c r="AL31" s="36">
        <f t="shared" si="17"/>
        <v>2</v>
      </c>
      <c r="AM31" s="36">
        <f t="shared" si="30"/>
        <v>6</v>
      </c>
      <c r="AN31" s="37">
        <f t="shared" si="18"/>
        <v>0</v>
      </c>
    </row>
    <row r="32" ht="16.15" customHeight="1" spans="1:40">
      <c r="A32" s="24">
        <v>27</v>
      </c>
      <c r="B32" s="276" t="s">
        <v>199</v>
      </c>
      <c r="C32" s="95" t="s">
        <v>173</v>
      </c>
      <c r="D32" s="29">
        <v>56</v>
      </c>
      <c r="E32" s="29" t="str">
        <f t="shared" si="21"/>
        <v>C</v>
      </c>
      <c r="F32" s="29">
        <v>36</v>
      </c>
      <c r="G32" s="49" t="str">
        <f t="shared" si="0"/>
        <v>W</v>
      </c>
      <c r="H32" s="29">
        <v>78</v>
      </c>
      <c r="I32" s="29" t="str">
        <f t="shared" si="26"/>
        <v>A</v>
      </c>
      <c r="J32" s="50">
        <v>59</v>
      </c>
      <c r="K32" s="41" t="str">
        <f t="shared" si="22"/>
        <v>C</v>
      </c>
      <c r="L32" s="41">
        <v>53</v>
      </c>
      <c r="M32" s="41" t="str">
        <f t="shared" si="23"/>
        <v>C</v>
      </c>
      <c r="N32" s="29">
        <v>65</v>
      </c>
      <c r="O32" s="41" t="str">
        <f t="shared" si="2"/>
        <v>B</v>
      </c>
      <c r="P32" s="51">
        <v>84</v>
      </c>
      <c r="Q32" s="309" t="str">
        <f t="shared" si="24"/>
        <v>A</v>
      </c>
      <c r="R32" s="51">
        <v>59</v>
      </c>
      <c r="S32" s="43" t="str">
        <f t="shared" si="25"/>
        <v>C</v>
      </c>
      <c r="T32" s="43">
        <v>28</v>
      </c>
      <c r="U32" s="43" t="str">
        <f t="shared" si="27"/>
        <v>W</v>
      </c>
      <c r="V32" s="52"/>
      <c r="W32" s="44"/>
      <c r="X32" s="52">
        <v>89</v>
      </c>
      <c r="Y32" s="44" t="str">
        <f t="shared" si="19"/>
        <v>A</v>
      </c>
      <c r="Z32" s="52"/>
      <c r="AA32" s="44"/>
      <c r="AB32" s="334">
        <v>81</v>
      </c>
      <c r="AC32" s="99" t="str">
        <f t="shared" si="29"/>
        <v>A</v>
      </c>
      <c r="AD32" s="334">
        <v>75</v>
      </c>
      <c r="AE32" s="99" t="str">
        <f t="shared" si="20"/>
        <v>A</v>
      </c>
      <c r="AF32" s="100">
        <f t="shared" si="11"/>
        <v>763</v>
      </c>
      <c r="AG32" s="101">
        <f t="shared" si="12"/>
        <v>63.5833333333333</v>
      </c>
      <c r="AH32" s="100">
        <f t="shared" si="13"/>
        <v>5</v>
      </c>
      <c r="AI32" s="36">
        <f t="shared" si="14"/>
        <v>5</v>
      </c>
      <c r="AJ32" s="36">
        <f t="shared" si="15"/>
        <v>1</v>
      </c>
      <c r="AK32" s="36">
        <f t="shared" si="16"/>
        <v>4</v>
      </c>
      <c r="AL32" s="36">
        <f t="shared" si="17"/>
        <v>0</v>
      </c>
      <c r="AM32" s="36">
        <f t="shared" si="30"/>
        <v>2</v>
      </c>
      <c r="AN32" s="37">
        <f t="shared" si="18"/>
        <v>0</v>
      </c>
    </row>
    <row r="33" ht="16.15" customHeight="1" spans="1:40">
      <c r="A33" s="24">
        <v>28</v>
      </c>
      <c r="B33" s="276" t="s">
        <v>200</v>
      </c>
      <c r="C33" s="95" t="s">
        <v>173</v>
      </c>
      <c r="D33" s="50">
        <v>33</v>
      </c>
      <c r="E33" s="29" t="str">
        <f t="shared" si="21"/>
        <v>W</v>
      </c>
      <c r="F33" s="50">
        <v>2</v>
      </c>
      <c r="G33" s="49" t="str">
        <f t="shared" si="0"/>
        <v>W</v>
      </c>
      <c r="H33" s="29">
        <v>19</v>
      </c>
      <c r="I33" s="29" t="str">
        <f t="shared" si="26"/>
        <v>W</v>
      </c>
      <c r="J33" s="50">
        <v>62</v>
      </c>
      <c r="K33" s="41" t="str">
        <f t="shared" si="22"/>
        <v>C</v>
      </c>
      <c r="L33" s="41">
        <v>33</v>
      </c>
      <c r="M33" s="41" t="str">
        <f t="shared" si="23"/>
        <v>W</v>
      </c>
      <c r="N33" s="29">
        <v>46</v>
      </c>
      <c r="O33" s="41" t="str">
        <f t="shared" si="2"/>
        <v>S</v>
      </c>
      <c r="P33" s="51">
        <v>47</v>
      </c>
      <c r="Q33" s="309" t="str">
        <f t="shared" si="24"/>
        <v>S</v>
      </c>
      <c r="R33" s="51">
        <v>21</v>
      </c>
      <c r="S33" s="43" t="str">
        <f t="shared" si="25"/>
        <v>W</v>
      </c>
      <c r="T33" s="43">
        <v>18</v>
      </c>
      <c r="U33" s="43" t="str">
        <f t="shared" si="27"/>
        <v>W</v>
      </c>
      <c r="V33" s="52">
        <v>42</v>
      </c>
      <c r="W33" s="44" t="str">
        <f t="shared" si="28"/>
        <v>S</v>
      </c>
      <c r="X33" s="52"/>
      <c r="Y33" s="44"/>
      <c r="Z33" s="52"/>
      <c r="AA33" s="44"/>
      <c r="AB33" s="334">
        <v>49</v>
      </c>
      <c r="AC33" s="99" t="str">
        <f t="shared" si="29"/>
        <v>S</v>
      </c>
      <c r="AD33" s="334">
        <v>78</v>
      </c>
      <c r="AE33" s="99" t="str">
        <f t="shared" si="20"/>
        <v>A</v>
      </c>
      <c r="AF33" s="100">
        <f t="shared" si="11"/>
        <v>450</v>
      </c>
      <c r="AG33" s="101">
        <f t="shared" si="12"/>
        <v>37.5</v>
      </c>
      <c r="AH33" s="100">
        <f t="shared" si="13"/>
        <v>17</v>
      </c>
      <c r="AI33" s="36">
        <f t="shared" si="14"/>
        <v>1</v>
      </c>
      <c r="AJ33" s="36">
        <f t="shared" si="15"/>
        <v>0</v>
      </c>
      <c r="AK33" s="36">
        <f t="shared" si="16"/>
        <v>1</v>
      </c>
      <c r="AL33" s="36">
        <f t="shared" si="17"/>
        <v>4</v>
      </c>
      <c r="AM33" s="36">
        <f t="shared" si="30"/>
        <v>6</v>
      </c>
      <c r="AN33" s="37">
        <f t="shared" si="18"/>
        <v>0</v>
      </c>
    </row>
    <row r="34" ht="16.15" customHeight="1" spans="1:40">
      <c r="A34" s="39">
        <v>29</v>
      </c>
      <c r="B34" s="276" t="s">
        <v>201</v>
      </c>
      <c r="C34" s="95" t="s">
        <v>173</v>
      </c>
      <c r="D34" s="29">
        <v>46</v>
      </c>
      <c r="E34" s="29" t="str">
        <f t="shared" si="21"/>
        <v>S</v>
      </c>
      <c r="F34" s="29">
        <v>51</v>
      </c>
      <c r="G34" s="49" t="str">
        <f t="shared" si="0"/>
        <v>C</v>
      </c>
      <c r="H34" s="29">
        <v>58</v>
      </c>
      <c r="I34" s="29" t="str">
        <f t="shared" si="26"/>
        <v>C</v>
      </c>
      <c r="J34" s="50">
        <v>40</v>
      </c>
      <c r="K34" s="41" t="str">
        <f t="shared" si="22"/>
        <v>S</v>
      </c>
      <c r="L34" s="41">
        <v>50</v>
      </c>
      <c r="M34" s="41" t="str">
        <f t="shared" si="23"/>
        <v>C</v>
      </c>
      <c r="N34" s="29">
        <v>64</v>
      </c>
      <c r="O34" s="41" t="str">
        <f t="shared" ref="O34" si="31">IF(N34&gt;=75,"A",IF(N34&gt;=65,"B",IF(N34&gt;=50,"C",IF(N34&gt;=36,"S","W"))))</f>
        <v>C</v>
      </c>
      <c r="P34" s="51">
        <v>76</v>
      </c>
      <c r="Q34" s="309" t="str">
        <f t="shared" si="24"/>
        <v>A</v>
      </c>
      <c r="R34" s="51">
        <v>38</v>
      </c>
      <c r="S34" s="43" t="str">
        <f t="shared" si="25"/>
        <v>W</v>
      </c>
      <c r="T34" s="43">
        <v>42</v>
      </c>
      <c r="U34" s="43" t="str">
        <f t="shared" si="27"/>
        <v>S</v>
      </c>
      <c r="V34" s="52"/>
      <c r="W34" s="44"/>
      <c r="X34" s="52">
        <v>80</v>
      </c>
      <c r="Y34" s="44" t="str">
        <f t="shared" si="19"/>
        <v>A</v>
      </c>
      <c r="Z34" s="52"/>
      <c r="AA34" s="44"/>
      <c r="AB34" s="334">
        <v>76</v>
      </c>
      <c r="AC34" s="99" t="str">
        <f t="shared" si="29"/>
        <v>A</v>
      </c>
      <c r="AD34" s="334">
        <v>85</v>
      </c>
      <c r="AE34" s="99" t="str">
        <f t="shared" si="20"/>
        <v>A</v>
      </c>
      <c r="AF34" s="100">
        <f t="shared" si="11"/>
        <v>706</v>
      </c>
      <c r="AG34" s="101">
        <f t="shared" si="12"/>
        <v>58.8333333333333</v>
      </c>
      <c r="AH34" s="100">
        <f t="shared" si="13"/>
        <v>7</v>
      </c>
      <c r="AI34" s="36">
        <f t="shared" si="14"/>
        <v>4</v>
      </c>
      <c r="AJ34" s="36">
        <f t="shared" si="15"/>
        <v>0</v>
      </c>
      <c r="AK34" s="36">
        <f t="shared" si="16"/>
        <v>4</v>
      </c>
      <c r="AL34" s="36">
        <f t="shared" si="17"/>
        <v>3</v>
      </c>
      <c r="AM34" s="36">
        <f t="shared" si="30"/>
        <v>1</v>
      </c>
      <c r="AN34" s="37">
        <f t="shared" si="18"/>
        <v>0</v>
      </c>
    </row>
    <row r="35" ht="16.15" customHeight="1" spans="1:40">
      <c r="A35" s="262" t="s">
        <v>62</v>
      </c>
      <c r="B35" s="263"/>
      <c r="C35" s="264"/>
      <c r="D35" s="390"/>
      <c r="E35" s="390"/>
      <c r="F35" s="390"/>
      <c r="G35" s="390"/>
      <c r="H35" s="390"/>
      <c r="I35" s="390"/>
      <c r="J35" s="390"/>
      <c r="K35" s="390"/>
      <c r="L35" s="390"/>
      <c r="M35" s="390"/>
      <c r="N35" s="390"/>
      <c r="O35" s="390"/>
      <c r="P35" s="390"/>
      <c r="Q35" s="390"/>
      <c r="R35" s="390"/>
      <c r="S35" s="390"/>
      <c r="T35" s="390"/>
      <c r="U35" s="390"/>
      <c r="V35" s="390"/>
      <c r="W35" s="390"/>
      <c r="X35" s="390"/>
      <c r="Y35" s="390"/>
      <c r="Z35" s="390"/>
      <c r="AA35" s="390"/>
      <c r="AB35" s="390"/>
      <c r="AC35" s="390"/>
      <c r="AD35" s="390"/>
      <c r="AE35" s="390"/>
      <c r="AF35" s="58"/>
      <c r="AG35" s="58"/>
      <c r="AH35" s="58"/>
      <c r="AM35" s="59"/>
      <c r="AN35" s="60"/>
    </row>
    <row r="36" ht="16.15" customHeight="1" spans="1:40">
      <c r="A36" s="262" t="s">
        <v>63</v>
      </c>
      <c r="B36" s="263"/>
      <c r="C36" s="265" t="s">
        <v>24</v>
      </c>
      <c r="D36" s="390"/>
      <c r="E36" s="391">
        <f>COUNTIF(E6:E34,"A")</f>
        <v>0</v>
      </c>
      <c r="F36" s="390"/>
      <c r="G36" s="391">
        <f>COUNTIF(G6:G34,"A")</f>
        <v>0</v>
      </c>
      <c r="H36" s="390"/>
      <c r="I36" s="391">
        <f>COUNTIF(I6:I34,"A")</f>
        <v>1</v>
      </c>
      <c r="J36" s="390"/>
      <c r="K36" s="391">
        <f>COUNTIF(K6:K34,"A")</f>
        <v>2</v>
      </c>
      <c r="L36" s="391"/>
      <c r="M36" s="391">
        <f>COUNTIF(M6:M34,"A")</f>
        <v>1</v>
      </c>
      <c r="N36" s="391"/>
      <c r="O36" s="391">
        <f>COUNTIF(O6:O34,"A")</f>
        <v>4</v>
      </c>
      <c r="P36" s="391"/>
      <c r="Q36" s="391">
        <f>COUNTIF(Q6:Q34,"A")</f>
        <v>6</v>
      </c>
      <c r="R36" s="390"/>
      <c r="S36" s="391">
        <f>COUNTIF(S6:S34,"A")</f>
        <v>0</v>
      </c>
      <c r="T36" s="390"/>
      <c r="U36" s="391">
        <f>COUNTIF(U6:U34,"A")</f>
        <v>2</v>
      </c>
      <c r="V36" s="390"/>
      <c r="W36" s="391">
        <f>COUNTIF(W6:W34,"A")</f>
        <v>0</v>
      </c>
      <c r="X36" s="390"/>
      <c r="Y36" s="391">
        <f>COUNTIF(Y6:Y34,"A")</f>
        <v>7</v>
      </c>
      <c r="Z36" s="390"/>
      <c r="AA36" s="391">
        <f>COUNTIF(AA6:AA34,"A")</f>
        <v>1</v>
      </c>
      <c r="AB36" s="390"/>
      <c r="AC36" s="391">
        <f>COUNTIF(AC6:AC34,"A")</f>
        <v>9</v>
      </c>
      <c r="AD36" s="390"/>
      <c r="AE36" s="391">
        <f>COUNTIF(AE6:AE34,"A")</f>
        <v>17</v>
      </c>
      <c r="AF36" s="64"/>
      <c r="AG36" s="64"/>
      <c r="AH36" s="64"/>
      <c r="AM36" s="59"/>
      <c r="AN36" s="60"/>
    </row>
    <row r="37" ht="10.9" customHeight="1" spans="1:40">
      <c r="A37" s="262" t="s">
        <v>64</v>
      </c>
      <c r="B37" s="263"/>
      <c r="C37" s="264" t="s">
        <v>25</v>
      </c>
      <c r="D37" s="390"/>
      <c r="E37" s="391">
        <f>COUNTIF(E6:E34,"B")</f>
        <v>1</v>
      </c>
      <c r="F37" s="390"/>
      <c r="G37" s="391">
        <f>COUNTIF(G6:G34,"B")</f>
        <v>0</v>
      </c>
      <c r="H37" s="390"/>
      <c r="I37" s="391">
        <f>COUNTIF(I6:I34,"B")</f>
        <v>1</v>
      </c>
      <c r="J37" s="390"/>
      <c r="K37" s="391">
        <f>COUNTIF(K6:K34,"B")</f>
        <v>0</v>
      </c>
      <c r="L37" s="390"/>
      <c r="M37" s="391">
        <f>COUNTIF(M6:M34,"B")</f>
        <v>4</v>
      </c>
      <c r="N37" s="390"/>
      <c r="O37" s="391">
        <f>COUNTIF(O6:O34,"B")</f>
        <v>2</v>
      </c>
      <c r="P37" s="390"/>
      <c r="Q37" s="391">
        <f>COUNTIF(Q6:Q34,"B")</f>
        <v>4</v>
      </c>
      <c r="R37" s="390"/>
      <c r="S37" s="391">
        <f>COUNTIF(S6:S34,"B")</f>
        <v>1</v>
      </c>
      <c r="T37" s="390"/>
      <c r="U37" s="391">
        <f>COUNTIF(U6:U34,"B")</f>
        <v>0</v>
      </c>
      <c r="V37" s="390"/>
      <c r="W37" s="391">
        <f>COUNTIF(W6:W34,"B")</f>
        <v>1</v>
      </c>
      <c r="X37" s="390"/>
      <c r="Y37" s="391">
        <f>COUNTIF(Y6:Y34,"B")</f>
        <v>4</v>
      </c>
      <c r="Z37" s="390"/>
      <c r="AA37" s="391">
        <f>COUNTIF(AA6:AA34,"B")</f>
        <v>0</v>
      </c>
      <c r="AB37" s="390"/>
      <c r="AC37" s="391">
        <f>COUNTIF(AC6:AC34,"B")</f>
        <v>1</v>
      </c>
      <c r="AD37" s="390"/>
      <c r="AE37" s="391">
        <f>COUNTIF(AE6:AE34,"B")</f>
        <v>2</v>
      </c>
      <c r="AF37" s="64"/>
      <c r="AG37" s="64"/>
      <c r="AH37" s="64"/>
      <c r="AN37" s="2"/>
    </row>
    <row r="38" ht="10.9" customHeight="1" spans="1:40">
      <c r="A38" s="262" t="s">
        <v>65</v>
      </c>
      <c r="B38" s="263"/>
      <c r="C38" s="264" t="s">
        <v>26</v>
      </c>
      <c r="D38" s="390"/>
      <c r="E38" s="391">
        <f>COUNTIF(E6:E34,"C")</f>
        <v>7</v>
      </c>
      <c r="F38" s="390"/>
      <c r="G38" s="391">
        <f>COUNTIF(G6:G34,"C")</f>
        <v>2</v>
      </c>
      <c r="H38" s="390"/>
      <c r="I38" s="391">
        <f>COUNTIF(I6:I34,"C")</f>
        <v>7</v>
      </c>
      <c r="J38" s="390"/>
      <c r="K38" s="391">
        <f>COUNTIF(K6:K34,"C")</f>
        <v>8</v>
      </c>
      <c r="L38" s="390"/>
      <c r="M38" s="391">
        <f>COUNTIF(M6:M34,"C")</f>
        <v>5</v>
      </c>
      <c r="N38" s="390"/>
      <c r="O38" s="391">
        <f>COUNTIF(O6:O34,"C")</f>
        <v>9</v>
      </c>
      <c r="P38" s="390"/>
      <c r="Q38" s="391">
        <f>COUNTIF(Q6:Q34,"C")</f>
        <v>7</v>
      </c>
      <c r="R38" s="390"/>
      <c r="S38" s="391">
        <f>COUNTIF(S6:S34,"C")</f>
        <v>4</v>
      </c>
      <c r="T38" s="390"/>
      <c r="U38" s="391">
        <f>COUNTIF(U6:U34,"C")</f>
        <v>2</v>
      </c>
      <c r="V38" s="390"/>
      <c r="W38" s="391">
        <f>COUNTIF(W6:W34,"C")</f>
        <v>1</v>
      </c>
      <c r="X38" s="390"/>
      <c r="Y38" s="391">
        <f>COUNTIF(Y6:Y34,"C")</f>
        <v>2</v>
      </c>
      <c r="Z38" s="390"/>
      <c r="AA38" s="391">
        <f>COUNTIF(AA6:AA34,"C")</f>
        <v>2</v>
      </c>
      <c r="AB38" s="390"/>
      <c r="AC38" s="391">
        <f>COUNTIF(AC6:AC34,"C")</f>
        <v>7</v>
      </c>
      <c r="AD38" s="390"/>
      <c r="AE38" s="391">
        <f>COUNTIF(AE6:AE34,"C")</f>
        <v>1</v>
      </c>
      <c r="AF38" s="64"/>
      <c r="AG38" s="64"/>
      <c r="AH38" s="64"/>
      <c r="AN38" s="2"/>
    </row>
    <row r="39" ht="10.9" customHeight="1" spans="1:40">
      <c r="A39" s="262" t="s">
        <v>66</v>
      </c>
      <c r="B39" s="263"/>
      <c r="C39" s="264" t="s">
        <v>27</v>
      </c>
      <c r="D39" s="390"/>
      <c r="E39" s="391">
        <f>COUNTIF(E6:E34,"S")</f>
        <v>5</v>
      </c>
      <c r="F39" s="390"/>
      <c r="G39" s="391">
        <f>COUNTIF(G6:G34,"S")</f>
        <v>3</v>
      </c>
      <c r="H39" s="390"/>
      <c r="I39" s="391">
        <f>COUNTIF(I6:I34,"S")</f>
        <v>7</v>
      </c>
      <c r="J39" s="390"/>
      <c r="K39" s="391">
        <f>COUNTIF(K6:K34,"S")</f>
        <v>4</v>
      </c>
      <c r="L39" s="390"/>
      <c r="M39" s="391">
        <f>COUNTIF(M6:M34,"S")</f>
        <v>1</v>
      </c>
      <c r="N39" s="390"/>
      <c r="O39" s="391">
        <f>COUNTIF(O6:O34,"S")</f>
        <v>4</v>
      </c>
      <c r="P39" s="390"/>
      <c r="Q39" s="391">
        <f>COUNTIF(Q6:Q34,"S")</f>
        <v>2</v>
      </c>
      <c r="R39" s="390"/>
      <c r="S39" s="391">
        <f>COUNTIF(S6:S34,"S")</f>
        <v>4</v>
      </c>
      <c r="T39" s="390"/>
      <c r="U39" s="391">
        <f>COUNTIF(U6:U34,"S")</f>
        <v>4</v>
      </c>
      <c r="V39" s="390"/>
      <c r="W39" s="391">
        <f>COUNTIF(W6:W34,"S")</f>
        <v>3</v>
      </c>
      <c r="X39" s="390"/>
      <c r="Y39" s="391">
        <f>COUNTIF(Y6:Y34,"S")</f>
        <v>1</v>
      </c>
      <c r="Z39" s="390"/>
      <c r="AA39" s="391">
        <f>COUNTIF(AA6:AA34,"S")</f>
        <v>1</v>
      </c>
      <c r="AB39" s="390"/>
      <c r="AC39" s="391">
        <f>COUNTIF(AC6:AC34,"S")</f>
        <v>4</v>
      </c>
      <c r="AD39" s="390"/>
      <c r="AE39" s="391">
        <f>COUNTIF(AE6:AE34,"S")</f>
        <v>6</v>
      </c>
      <c r="AF39" s="64"/>
      <c r="AG39" s="64"/>
      <c r="AH39" s="64"/>
      <c r="AN39" s="2"/>
    </row>
    <row r="40" ht="10.9" customHeight="1" spans="1:40">
      <c r="A40" s="262" t="s">
        <v>67</v>
      </c>
      <c r="B40" s="263"/>
      <c r="C40" s="264" t="s">
        <v>28</v>
      </c>
      <c r="D40" s="390"/>
      <c r="E40" s="391">
        <f>COUNTIF(E6:E34,"W")</f>
        <v>15</v>
      </c>
      <c r="F40" s="390"/>
      <c r="G40" s="391">
        <f>COUNTIF(G6:G34,"W")</f>
        <v>22</v>
      </c>
      <c r="H40" s="390"/>
      <c r="I40" s="391">
        <f>COUNTIF(I6:I34,"W")</f>
        <v>12</v>
      </c>
      <c r="J40" s="390"/>
      <c r="K40" s="391">
        <f>COUNTIF(K6:K34,"W")</f>
        <v>15</v>
      </c>
      <c r="L40" s="390"/>
      <c r="M40" s="391">
        <f>COUNTIF(M6:M34,"W")</f>
        <v>16</v>
      </c>
      <c r="N40" s="390"/>
      <c r="O40" s="391">
        <f>COUNTIF(O6:O34,"W")</f>
        <v>10</v>
      </c>
      <c r="P40" s="390"/>
      <c r="Q40" s="391">
        <f>COUNTIF(Q6:Q34,"W")</f>
        <v>9</v>
      </c>
      <c r="R40" s="390"/>
      <c r="S40" s="391">
        <f>COUNTIF(S6:S34,"W")</f>
        <v>19</v>
      </c>
      <c r="T40" s="390"/>
      <c r="U40" s="391">
        <f>COUNTIF(U6:U34,"W")</f>
        <v>19</v>
      </c>
      <c r="V40" s="390"/>
      <c r="W40" s="391">
        <f>COUNTIF(W6:W34,"W")</f>
        <v>3</v>
      </c>
      <c r="X40" s="390"/>
      <c r="Y40" s="391">
        <f>COUNTIF(Y6:Y34,"W")</f>
        <v>1</v>
      </c>
      <c r="Z40" s="390"/>
      <c r="AA40" s="391">
        <f>COUNTIF(AA6:AA34,"W")</f>
        <v>0</v>
      </c>
      <c r="AB40" s="390"/>
      <c r="AC40" s="391">
        <f>COUNTIF(AC6:AC34,"W")</f>
        <v>7</v>
      </c>
      <c r="AD40" s="390"/>
      <c r="AE40" s="391">
        <f>COUNTIF(AE6:AE34,"W")</f>
        <v>1</v>
      </c>
      <c r="AF40" s="64"/>
      <c r="AG40" s="64"/>
      <c r="AH40" s="64"/>
      <c r="AN40" s="2"/>
    </row>
    <row r="41" ht="10.9" customHeight="1" spans="1:40">
      <c r="A41" s="262"/>
      <c r="B41" s="263"/>
      <c r="C41" s="264" t="s">
        <v>29</v>
      </c>
      <c r="D41" s="390"/>
      <c r="E41" s="391">
        <f>COUNTIF(E6:E34,"AB")</f>
        <v>1</v>
      </c>
      <c r="F41" s="390"/>
      <c r="G41" s="391">
        <f>COUNTIF(G6:G34,"AB")</f>
        <v>2</v>
      </c>
      <c r="H41" s="390"/>
      <c r="I41" s="391">
        <f>COUNTIF(I6:I34,"AB")</f>
        <v>1</v>
      </c>
      <c r="J41" s="390"/>
      <c r="K41" s="391">
        <f>COUNTIF(K6:K34,"AB")</f>
        <v>0</v>
      </c>
      <c r="L41" s="390"/>
      <c r="M41" s="391">
        <f>COUNTIF(M6:M34,"AB")</f>
        <v>2</v>
      </c>
      <c r="N41" s="390"/>
      <c r="O41" s="391">
        <f>COUNTIF(O6:O34,"AB")</f>
        <v>0</v>
      </c>
      <c r="P41" s="390"/>
      <c r="Q41" s="391">
        <f>COUNTIF(Q6:Q34,"AB")</f>
        <v>1</v>
      </c>
      <c r="R41" s="390"/>
      <c r="S41" s="391">
        <f>COUNTIF(S6:S34,"AB")</f>
        <v>1</v>
      </c>
      <c r="T41" s="390"/>
      <c r="U41" s="391">
        <f>COUNTIF(U6:U34,"AB")</f>
        <v>2</v>
      </c>
      <c r="V41" s="390"/>
      <c r="W41" s="391">
        <f>COUNTIF(W6:W34,"AB")</f>
        <v>0</v>
      </c>
      <c r="X41" s="390"/>
      <c r="Y41" s="391">
        <f>COUNTIF(Y6:Y34,"AB")</f>
        <v>1</v>
      </c>
      <c r="Z41" s="390"/>
      <c r="AA41" s="391">
        <f>COUNTIF(AA6:AA34,"AB")</f>
        <v>0</v>
      </c>
      <c r="AB41" s="390"/>
      <c r="AC41" s="391">
        <f>COUNTIF(AC6:AC34,"AB")</f>
        <v>1</v>
      </c>
      <c r="AD41" s="390"/>
      <c r="AE41" s="391">
        <f>COUNTIF(AE6:AE34,"AB")</f>
        <v>2</v>
      </c>
      <c r="AF41" s="64"/>
      <c r="AG41" s="64"/>
      <c r="AH41" s="64"/>
      <c r="AN41" s="2"/>
    </row>
    <row r="42" ht="10.9" customHeight="1" spans="1:40">
      <c r="A42" s="266" t="s">
        <v>7</v>
      </c>
      <c r="B42" s="267"/>
      <c r="C42" s="268"/>
      <c r="D42" s="392"/>
      <c r="E42" s="267">
        <f>SUM(E36:E41)</f>
        <v>29</v>
      </c>
      <c r="F42" s="392"/>
      <c r="G42" s="393">
        <f>SUM(G36:G41)</f>
        <v>29</v>
      </c>
      <c r="H42" s="392"/>
      <c r="I42" s="393">
        <f>SUM(I36:I41)</f>
        <v>29</v>
      </c>
      <c r="J42" s="392"/>
      <c r="K42" s="393">
        <f>SUM(K36:K41)</f>
        <v>29</v>
      </c>
      <c r="L42" s="392"/>
      <c r="M42" s="393">
        <f>SUM(M36:M41)</f>
        <v>29</v>
      </c>
      <c r="N42" s="392"/>
      <c r="O42" s="393">
        <f>SUM(O36:O41)</f>
        <v>29</v>
      </c>
      <c r="P42" s="392"/>
      <c r="Q42" s="393">
        <f>SUM(Q36:Q41)</f>
        <v>29</v>
      </c>
      <c r="R42" s="392"/>
      <c r="S42" s="393">
        <f>SUM(S36:S41)</f>
        <v>29</v>
      </c>
      <c r="T42" s="392"/>
      <c r="U42" s="393">
        <f>SUM(U36:U41)</f>
        <v>29</v>
      </c>
      <c r="V42" s="392"/>
      <c r="W42" s="393">
        <f>SUM(W36:W41)</f>
        <v>8</v>
      </c>
      <c r="X42" s="392"/>
      <c r="Y42" s="393">
        <f>SUM(Y36:Y41)</f>
        <v>16</v>
      </c>
      <c r="Z42" s="392"/>
      <c r="AA42" s="393">
        <f>SUM(AA36:AA41)</f>
        <v>4</v>
      </c>
      <c r="AB42" s="392"/>
      <c r="AC42" s="393">
        <f>SUM(AC36:AC41)</f>
        <v>29</v>
      </c>
      <c r="AD42" s="392"/>
      <c r="AE42" s="393">
        <f>SUM(AE36:AE41)</f>
        <v>29</v>
      </c>
      <c r="AF42" s="70"/>
      <c r="AG42" s="70"/>
      <c r="AH42" s="70"/>
      <c r="AN42" s="2"/>
    </row>
    <row r="43" ht="10.9" customHeight="1" spans="1:40">
      <c r="A43" s="71"/>
      <c r="B43" s="72"/>
      <c r="C43" s="73"/>
      <c r="D43" s="74"/>
      <c r="E43" s="75"/>
      <c r="F43" s="74"/>
      <c r="G43" s="74"/>
      <c r="H43" s="74"/>
      <c r="I43" s="74"/>
      <c r="J43" s="74"/>
      <c r="K43" s="76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N43" s="2"/>
    </row>
    <row r="44" ht="10.9" customHeight="1" spans="1:40">
      <c r="A44" s="47"/>
      <c r="B44" s="77"/>
      <c r="C44" s="78"/>
      <c r="D44" s="38"/>
      <c r="E44" s="79"/>
      <c r="F44" s="38"/>
      <c r="G44" s="38"/>
      <c r="H44" s="38"/>
      <c r="I44" s="38"/>
      <c r="J44" s="38"/>
      <c r="K44" s="80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N44" s="2"/>
    </row>
  </sheetData>
  <mergeCells count="17">
    <mergeCell ref="A1:AE1"/>
    <mergeCell ref="A2:AM2"/>
    <mergeCell ref="A3:AM3"/>
    <mergeCell ref="D4:AE4"/>
    <mergeCell ref="AF4:AH4"/>
    <mergeCell ref="AI4:AM4"/>
    <mergeCell ref="A35:B35"/>
    <mergeCell ref="A36:B36"/>
    <mergeCell ref="A37:B37"/>
    <mergeCell ref="A38:B38"/>
    <mergeCell ref="A39:B39"/>
    <mergeCell ref="A40:B40"/>
    <mergeCell ref="A41:B41"/>
    <mergeCell ref="A42:B42"/>
    <mergeCell ref="A4:A5"/>
    <mergeCell ref="B4:B5"/>
    <mergeCell ref="C4:C5"/>
  </mergeCells>
  <pageMargins left="0.25" right="0.25" top="0.75" bottom="0.75" header="0.3" footer="0.3"/>
  <pageSetup paperSize="8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8"/>
  <sheetViews>
    <sheetView zoomScale="64" zoomScaleNormal="64" workbookViewId="0">
      <selection activeCell="T17" sqref="T17"/>
    </sheetView>
  </sheetViews>
  <sheetFormatPr defaultColWidth="8.85185185185185" defaultRowHeight="14.4"/>
  <cols>
    <col min="1" max="1" width="4.13888888888889" customWidth="1"/>
    <col min="2" max="2" width="24.712962962963" customWidth="1"/>
    <col min="3" max="3" width="5.28703703703704" customWidth="1"/>
    <col min="4" max="31" width="4.28703703703704" customWidth="1"/>
    <col min="32" max="32" width="5.13888888888889" customWidth="1"/>
    <col min="33" max="33" width="6.28703703703704" customWidth="1"/>
    <col min="34" max="34" width="4.85185185185185" customWidth="1"/>
    <col min="35" max="40" width="4" customWidth="1"/>
  </cols>
  <sheetData>
    <row r="1" ht="21" spans="1:40">
      <c r="A1" s="356" t="s">
        <v>202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  <c r="AA1" s="357"/>
      <c r="AB1" s="357"/>
      <c r="AC1" s="357"/>
      <c r="AD1" s="357"/>
      <c r="AE1" s="357"/>
      <c r="AF1" s="358"/>
      <c r="AG1" s="358"/>
      <c r="AH1" s="358"/>
      <c r="AN1" s="2"/>
    </row>
    <row r="2" spans="1:40">
      <c r="AN2" s="2"/>
    </row>
    <row r="3" ht="18" spans="1:40">
      <c r="A3" s="288" t="s">
        <v>1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"/>
    </row>
    <row r="4" ht="18" spans="1:40">
      <c r="A4" s="288" t="s">
        <v>203</v>
      </c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88"/>
      <c r="U4" s="288"/>
      <c r="V4" s="288"/>
      <c r="W4" s="288"/>
      <c r="X4" s="288"/>
      <c r="Y4" s="288"/>
      <c r="Z4" s="288"/>
      <c r="AA4" s="288"/>
      <c r="AB4" s="288"/>
      <c r="AC4" s="288"/>
      <c r="AD4" s="288"/>
      <c r="AE4" s="288"/>
      <c r="AF4" s="288"/>
      <c r="AG4" s="288"/>
      <c r="AH4" s="288"/>
      <c r="AI4" s="288"/>
      <c r="AJ4" s="288"/>
      <c r="AK4" s="288"/>
      <c r="AL4" s="288"/>
      <c r="AM4" s="288"/>
      <c r="AN4" s="2"/>
    </row>
    <row r="5" spans="1:40">
      <c r="AN5" s="2"/>
    </row>
    <row r="6" ht="15.6" customHeight="1" spans="1:40">
      <c r="A6" s="359" t="s">
        <v>3</v>
      </c>
      <c r="B6" s="359" t="s">
        <v>4</v>
      </c>
      <c r="C6" s="360" t="s">
        <v>5</v>
      </c>
      <c r="D6" s="272" t="s">
        <v>6</v>
      </c>
      <c r="E6" s="273"/>
      <c r="F6" s="273"/>
      <c r="G6" s="273"/>
      <c r="H6" s="273"/>
      <c r="I6" s="273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  <c r="AA6" s="273"/>
      <c r="AB6" s="273"/>
      <c r="AC6" s="273"/>
      <c r="AD6" s="273"/>
      <c r="AE6" s="274"/>
      <c r="AF6" s="275"/>
      <c r="AG6" s="275"/>
      <c r="AH6" s="275"/>
      <c r="AI6" s="361" t="s">
        <v>7</v>
      </c>
      <c r="AJ6" s="362"/>
      <c r="AK6" s="362"/>
      <c r="AL6" s="362"/>
      <c r="AM6" s="362"/>
      <c r="AN6" s="362"/>
    </row>
    <row r="7" ht="123.6" customHeight="1" spans="1:40">
      <c r="A7" s="363"/>
      <c r="B7" s="363"/>
      <c r="C7" s="364"/>
      <c r="D7" s="365" t="s">
        <v>8</v>
      </c>
      <c r="E7" s="365"/>
      <c r="F7" s="365" t="s">
        <v>9</v>
      </c>
      <c r="G7" s="365"/>
      <c r="H7" s="365" t="s">
        <v>10</v>
      </c>
      <c r="I7" s="365"/>
      <c r="J7" s="365" t="s">
        <v>11</v>
      </c>
      <c r="K7" s="365"/>
      <c r="L7" s="365" t="s">
        <v>12</v>
      </c>
      <c r="M7" s="365"/>
      <c r="N7" s="365" t="s">
        <v>13</v>
      </c>
      <c r="O7" s="365"/>
      <c r="P7" s="366" t="s">
        <v>14</v>
      </c>
      <c r="Q7" s="366"/>
      <c r="R7" s="366" t="s">
        <v>15</v>
      </c>
      <c r="S7" s="366"/>
      <c r="T7" s="366" t="s">
        <v>16</v>
      </c>
      <c r="U7" s="366"/>
      <c r="V7" s="367" t="s">
        <v>17</v>
      </c>
      <c r="W7" s="367"/>
      <c r="X7" s="367" t="s">
        <v>18</v>
      </c>
      <c r="Y7" s="367"/>
      <c r="Z7" s="367" t="s">
        <v>19</v>
      </c>
      <c r="AA7" s="368"/>
      <c r="AB7" s="369" t="s">
        <v>20</v>
      </c>
      <c r="AC7" s="369"/>
      <c r="AD7" s="369" t="s">
        <v>21</v>
      </c>
      <c r="AE7" s="369"/>
      <c r="AF7" s="370" t="s">
        <v>7</v>
      </c>
      <c r="AG7" s="370" t="s">
        <v>22</v>
      </c>
      <c r="AH7" s="370" t="s">
        <v>23</v>
      </c>
      <c r="AI7" s="19" t="s">
        <v>24</v>
      </c>
      <c r="AJ7" s="20" t="s">
        <v>25</v>
      </c>
      <c r="AK7" s="21" t="s">
        <v>26</v>
      </c>
      <c r="AL7" s="20" t="s">
        <v>27</v>
      </c>
      <c r="AM7" s="20" t="s">
        <v>28</v>
      </c>
      <c r="AN7" s="156" t="s">
        <v>29</v>
      </c>
    </row>
    <row r="8" ht="15.6" spans="1:40">
      <c r="A8" s="24">
        <v>1</v>
      </c>
      <c r="B8" s="371" t="s">
        <v>204</v>
      </c>
      <c r="C8" s="372" t="s">
        <v>205</v>
      </c>
      <c r="D8" s="373" t="s">
        <v>29</v>
      </c>
      <c r="E8" s="373" t="s">
        <v>29</v>
      </c>
      <c r="F8" s="27">
        <v>24</v>
      </c>
      <c r="G8" s="27" t="str">
        <f t="shared" ref="G8:G18" si="0">IF(F8&gt;=75,"A",IF(F8&gt;=65,"B",IF(F8&gt;=50,"C",IF(F8&gt;=40,"S","W"))))</f>
        <v>W</v>
      </c>
      <c r="H8" s="27">
        <v>64</v>
      </c>
      <c r="I8" s="29" t="str">
        <f t="shared" ref="I8:I18" si="1">IF(H8&gt;=75,"A",IF(H8&gt;=65,"B",IF(H8&gt;=50,"C",IF(H8&gt;=40,"S","W"))))</f>
        <v>C</v>
      </c>
      <c r="J8" s="27">
        <v>70</v>
      </c>
      <c r="K8" s="27" t="str">
        <f t="shared" ref="K8:K18" si="2">IF(J8&gt;=75,"A",IF(J8&gt;=65,"B",IF(J8&gt;=50,"C",IF(J8&gt;=40,"S","W"))))</f>
        <v>B</v>
      </c>
      <c r="L8" s="27">
        <v>50</v>
      </c>
      <c r="M8" s="29" t="str">
        <f t="shared" ref="M8:M18" si="3">IF(L8&gt;=75,"A",IF(L8&gt;=65,"B",IF(L8&gt;=50,"C",IF(L8&gt;=40,"S","W"))))</f>
        <v>C</v>
      </c>
      <c r="N8" s="27">
        <v>41</v>
      </c>
      <c r="O8" s="29" t="str">
        <f t="shared" ref="O8:O18" si="4">IF(N8&gt;=75,"A",IF(N8&gt;=65,"B",IF(N8&gt;=50,"C",IF(N8&gt;=40,"S","W"))))</f>
        <v>S</v>
      </c>
      <c r="P8" s="374" t="s">
        <v>29</v>
      </c>
      <c r="Q8" s="374" t="s">
        <v>29</v>
      </c>
      <c r="R8" s="32">
        <v>36</v>
      </c>
      <c r="S8" s="32" t="str">
        <f t="shared" ref="S8:S18" si="5">IF(R8&gt;=75,"A",IF(R8&gt;=65,"B",IF(R8&gt;=50,"C",IF(R8&gt;=40,"S","W"))))</f>
        <v>W</v>
      </c>
      <c r="T8" s="32">
        <v>87</v>
      </c>
      <c r="U8" s="32" t="str">
        <f t="shared" ref="U8:U18" si="6">IF(T8&gt;=75,"A",IF(T8&gt;=65,"B",IF(T8&gt;=50,"C",IF(T8&gt;=40,"S","W"))))</f>
        <v>A</v>
      </c>
      <c r="V8" s="33">
        <v>61</v>
      </c>
      <c r="W8" s="33" t="str">
        <f>IF(V8&gt;=75,"A",IF(V8&gt;=65,"B",IF(V8&gt;=50,"C",IF(V8&gt;=40,"S","W"))))</f>
        <v>C</v>
      </c>
      <c r="X8" s="33"/>
      <c r="Y8" s="33"/>
      <c r="Z8" s="33"/>
      <c r="AA8" s="33"/>
      <c r="AB8" s="322">
        <v>51</v>
      </c>
      <c r="AC8" s="106" t="str">
        <f t="shared" ref="AC8:AC18" si="7">IF(AB8&gt;=75,"A",IF(AB8&gt;=65,"B",IF(AB8&gt;=50,"C",IF(AB8&gt;=40,"S","W"))))</f>
        <v>C</v>
      </c>
      <c r="AD8" s="322">
        <v>90</v>
      </c>
      <c r="AE8" s="322" t="str">
        <f t="shared" ref="AE8:AE18" si="8">IF(AD8&gt;=75,"A",IF(AD8&gt;=65,"B",IF(AD8&gt;=50,"C",IF(AD8&gt;=40,"S","W"))))</f>
        <v>A</v>
      </c>
      <c r="AF8" s="34">
        <f t="shared" ref="AF8:AF18" si="9">SUM(D8,F8,H8,J8,L8,N8,P8,R8,T8,V8,X8,Z8,AB8,AD8)</f>
        <v>574</v>
      </c>
      <c r="AG8" s="35">
        <f t="shared" ref="AG8:AG18" si="10">AVERAGE(AF8/12)</f>
        <v>47.8333333333333</v>
      </c>
      <c r="AH8" s="34">
        <f t="shared" ref="AH8:AH18" si="11">_xlfn.RANK.AVG(AF8,$AF$8:$AF$18,0)</f>
        <v>10</v>
      </c>
      <c r="AI8" s="375">
        <f t="shared" ref="AI8:AI18" si="12">COUNTIF(D8:AE8,"A")</f>
        <v>2</v>
      </c>
      <c r="AJ8" s="375">
        <f t="shared" ref="AJ8:AJ18" si="13">COUNTIF(D8:AE8,"B")</f>
        <v>1</v>
      </c>
      <c r="AK8" s="375">
        <f t="shared" ref="AK8:AK18" si="14">COUNTIF(D8:AE8,"C")</f>
        <v>4</v>
      </c>
      <c r="AL8" s="375">
        <f t="shared" ref="AL8:AL18" si="15">COUNTIF(E8:AE8,"S")</f>
        <v>1</v>
      </c>
      <c r="AM8" s="375">
        <f t="shared" ref="AM8:AM18" si="16">COUNTIF(D8:AE8,"W")</f>
        <v>2</v>
      </c>
      <c r="AN8" s="156">
        <f t="shared" ref="AN8:AN18" si="17">(COUNTIF(D8:AE8,"AB"))/2</f>
        <v>2</v>
      </c>
    </row>
    <row r="9" ht="15.6" spans="1:40">
      <c r="A9" s="124">
        <v>2</v>
      </c>
      <c r="B9" s="371" t="s">
        <v>206</v>
      </c>
      <c r="C9" s="372" t="s">
        <v>205</v>
      </c>
      <c r="D9" s="29">
        <v>58</v>
      </c>
      <c r="E9" s="29" t="str">
        <f t="shared" ref="E9:E18" si="18">IF(D9&gt;=75,"A",IF(D9&gt;=65,"B",IF(D9&gt;=50,"C",IF(D9&gt;=40,"S","W"))))</f>
        <v>C</v>
      </c>
      <c r="F9" s="29">
        <v>23</v>
      </c>
      <c r="G9" s="27" t="str">
        <f t="shared" si="0"/>
        <v>W</v>
      </c>
      <c r="H9" s="29">
        <v>55</v>
      </c>
      <c r="I9" s="29" t="str">
        <f t="shared" si="1"/>
        <v>C</v>
      </c>
      <c r="J9" s="29">
        <v>60</v>
      </c>
      <c r="K9" s="27" t="str">
        <f t="shared" si="2"/>
        <v>C</v>
      </c>
      <c r="L9" s="29">
        <v>42</v>
      </c>
      <c r="M9" s="29" t="str">
        <f t="shared" si="3"/>
        <v>S</v>
      </c>
      <c r="N9" s="29">
        <v>22</v>
      </c>
      <c r="O9" s="29" t="str">
        <f t="shared" si="4"/>
        <v>W</v>
      </c>
      <c r="P9" s="51">
        <v>44</v>
      </c>
      <c r="Q9" s="32" t="str">
        <f t="shared" ref="Q9:Q18" si="19">IF(P9&gt;=75,"A",IF(P9&gt;=65,"B",IF(P9&gt;=50,"C",IF(F9&gt;=40,"S","W"))))</f>
        <v>W</v>
      </c>
      <c r="R9" s="51">
        <v>43</v>
      </c>
      <c r="S9" s="32" t="str">
        <f t="shared" si="5"/>
        <v>S</v>
      </c>
      <c r="T9" s="51">
        <v>64</v>
      </c>
      <c r="U9" s="32" t="str">
        <f t="shared" si="6"/>
        <v>C</v>
      </c>
      <c r="V9" s="52">
        <v>53</v>
      </c>
      <c r="W9" s="33" t="str">
        <f>IF(V9&gt;=75,"A",IF(V9&gt;=65,"B",IF(V9&gt;=50,"C",IF(V9&gt;=40,"S","W"))))</f>
        <v>C</v>
      </c>
      <c r="X9" s="52"/>
      <c r="Y9" s="33"/>
      <c r="Z9" s="52"/>
      <c r="AA9" s="33"/>
      <c r="AB9" s="106">
        <v>49</v>
      </c>
      <c r="AC9" s="106" t="str">
        <f t="shared" si="7"/>
        <v>S</v>
      </c>
      <c r="AD9" s="106">
        <v>85</v>
      </c>
      <c r="AE9" s="322" t="str">
        <f t="shared" si="8"/>
        <v>A</v>
      </c>
      <c r="AF9" s="34">
        <f t="shared" si="9"/>
        <v>598</v>
      </c>
      <c r="AG9" s="35">
        <f t="shared" si="10"/>
        <v>49.8333333333333</v>
      </c>
      <c r="AH9" s="34">
        <f t="shared" si="11"/>
        <v>9</v>
      </c>
      <c r="AI9" s="375">
        <f t="shared" si="12"/>
        <v>1</v>
      </c>
      <c r="AJ9" s="375">
        <f t="shared" si="13"/>
        <v>0</v>
      </c>
      <c r="AK9" s="375">
        <f t="shared" si="14"/>
        <v>5</v>
      </c>
      <c r="AL9" s="375">
        <f t="shared" si="15"/>
        <v>3</v>
      </c>
      <c r="AM9" s="375">
        <f t="shared" si="16"/>
        <v>3</v>
      </c>
      <c r="AN9" s="156">
        <f t="shared" si="17"/>
        <v>0</v>
      </c>
    </row>
    <row r="10" ht="15.6" spans="1:40">
      <c r="A10" s="24">
        <v>3</v>
      </c>
      <c r="B10" s="371" t="s">
        <v>207</v>
      </c>
      <c r="C10" s="372" t="s">
        <v>205</v>
      </c>
      <c r="D10" s="376" t="s">
        <v>29</v>
      </c>
      <c r="E10" s="376" t="s">
        <v>29</v>
      </c>
      <c r="F10" s="376" t="s">
        <v>29</v>
      </c>
      <c r="G10" s="376" t="s">
        <v>29</v>
      </c>
      <c r="H10" s="376" t="s">
        <v>29</v>
      </c>
      <c r="I10" s="376" t="s">
        <v>29</v>
      </c>
      <c r="J10" s="376" t="s">
        <v>29</v>
      </c>
      <c r="K10" s="376" t="s">
        <v>29</v>
      </c>
      <c r="L10" s="376" t="s">
        <v>29</v>
      </c>
      <c r="M10" s="376" t="s">
        <v>29</v>
      </c>
      <c r="N10" s="376" t="s">
        <v>29</v>
      </c>
      <c r="O10" s="376" t="s">
        <v>29</v>
      </c>
      <c r="P10" s="374" t="s">
        <v>29</v>
      </c>
      <c r="Q10" s="374" t="s">
        <v>29</v>
      </c>
      <c r="R10" s="374" t="s">
        <v>29</v>
      </c>
      <c r="S10" s="374" t="s">
        <v>29</v>
      </c>
      <c r="T10" s="374" t="s">
        <v>29</v>
      </c>
      <c r="U10" s="374" t="s">
        <v>29</v>
      </c>
      <c r="V10" s="52"/>
      <c r="W10" s="33"/>
      <c r="X10" s="333" t="s">
        <v>29</v>
      </c>
      <c r="Y10" s="333" t="s">
        <v>29</v>
      </c>
      <c r="Z10" s="52"/>
      <c r="AA10" s="33"/>
      <c r="AB10" s="337" t="s">
        <v>29</v>
      </c>
      <c r="AC10" s="337" t="s">
        <v>29</v>
      </c>
      <c r="AD10" s="337" t="s">
        <v>29</v>
      </c>
      <c r="AE10" s="337" t="s">
        <v>29</v>
      </c>
      <c r="AF10" s="34">
        <f t="shared" si="9"/>
        <v>0</v>
      </c>
      <c r="AG10" s="35">
        <f t="shared" si="10"/>
        <v>0</v>
      </c>
      <c r="AH10" s="34">
        <f t="shared" si="11"/>
        <v>11</v>
      </c>
      <c r="AI10" s="375">
        <f t="shared" si="12"/>
        <v>0</v>
      </c>
      <c r="AJ10" s="375">
        <f t="shared" si="13"/>
        <v>0</v>
      </c>
      <c r="AK10" s="375">
        <f t="shared" si="14"/>
        <v>0</v>
      </c>
      <c r="AL10" s="375">
        <f t="shared" si="15"/>
        <v>0</v>
      </c>
      <c r="AM10" s="375">
        <f t="shared" si="16"/>
        <v>0</v>
      </c>
      <c r="AN10" s="156">
        <f t="shared" si="17"/>
        <v>12</v>
      </c>
    </row>
    <row r="11" ht="15.6" spans="1:40">
      <c r="A11" s="124">
        <v>4</v>
      </c>
      <c r="B11" s="371" t="s">
        <v>208</v>
      </c>
      <c r="C11" s="372" t="s">
        <v>205</v>
      </c>
      <c r="D11" s="29">
        <v>73</v>
      </c>
      <c r="E11" s="29" t="str">
        <f t="shared" si="18"/>
        <v>B</v>
      </c>
      <c r="F11" s="377">
        <v>31</v>
      </c>
      <c r="G11" s="27" t="str">
        <f t="shared" si="0"/>
        <v>W</v>
      </c>
      <c r="H11" s="377">
        <v>80</v>
      </c>
      <c r="I11" s="29" t="str">
        <f t="shared" si="1"/>
        <v>A</v>
      </c>
      <c r="J11" s="29">
        <v>77</v>
      </c>
      <c r="K11" s="27" t="str">
        <f t="shared" si="2"/>
        <v>A</v>
      </c>
      <c r="L11" s="29">
        <v>34</v>
      </c>
      <c r="M11" s="29" t="str">
        <f t="shared" si="3"/>
        <v>W</v>
      </c>
      <c r="N11" s="29">
        <v>53</v>
      </c>
      <c r="O11" s="29" t="str">
        <f t="shared" si="4"/>
        <v>C</v>
      </c>
      <c r="P11" s="51">
        <v>68</v>
      </c>
      <c r="Q11" s="32" t="str">
        <f t="shared" si="19"/>
        <v>B</v>
      </c>
      <c r="R11" s="51">
        <v>58</v>
      </c>
      <c r="S11" s="32" t="str">
        <f t="shared" si="5"/>
        <v>C</v>
      </c>
      <c r="T11" s="51">
        <v>62</v>
      </c>
      <c r="U11" s="32" t="str">
        <f t="shared" si="6"/>
        <v>C</v>
      </c>
      <c r="V11" s="52"/>
      <c r="W11" s="33"/>
      <c r="X11" s="52">
        <v>88</v>
      </c>
      <c r="Y11" s="33" t="str">
        <f>IF(X11&gt;=75,"A",IF(X11&gt;=65,"B",IF(X11&gt;=50,"C",IF(X11&gt;=40,"S","W"))))</f>
        <v>A</v>
      </c>
      <c r="Z11" s="52"/>
      <c r="AA11" s="33"/>
      <c r="AB11" s="106">
        <v>75</v>
      </c>
      <c r="AC11" s="106" t="str">
        <f t="shared" si="7"/>
        <v>A</v>
      </c>
      <c r="AD11" s="106">
        <v>90</v>
      </c>
      <c r="AE11" s="322" t="str">
        <f t="shared" si="8"/>
        <v>A</v>
      </c>
      <c r="AF11" s="34">
        <f t="shared" si="9"/>
        <v>789</v>
      </c>
      <c r="AG11" s="35">
        <f t="shared" si="10"/>
        <v>65.75</v>
      </c>
      <c r="AH11" s="34">
        <f t="shared" si="11"/>
        <v>4</v>
      </c>
      <c r="AI11" s="375">
        <f t="shared" si="12"/>
        <v>5</v>
      </c>
      <c r="AJ11" s="375">
        <f t="shared" si="13"/>
        <v>2</v>
      </c>
      <c r="AK11" s="375">
        <f t="shared" si="14"/>
        <v>3</v>
      </c>
      <c r="AL11" s="375">
        <f t="shared" si="15"/>
        <v>0</v>
      </c>
      <c r="AM11" s="375">
        <f t="shared" si="16"/>
        <v>2</v>
      </c>
      <c r="AN11" s="156">
        <f t="shared" si="17"/>
        <v>0</v>
      </c>
    </row>
    <row r="12" ht="15.6" spans="1:40">
      <c r="A12" s="24">
        <v>5</v>
      </c>
      <c r="B12" s="371" t="s">
        <v>209</v>
      </c>
      <c r="C12" s="372" t="s">
        <v>205</v>
      </c>
      <c r="D12" s="29">
        <v>64</v>
      </c>
      <c r="E12" s="29" t="str">
        <f t="shared" si="18"/>
        <v>C</v>
      </c>
      <c r="F12" s="29">
        <v>49</v>
      </c>
      <c r="G12" s="27" t="str">
        <f t="shared" si="0"/>
        <v>S</v>
      </c>
      <c r="H12" s="29">
        <v>81</v>
      </c>
      <c r="I12" s="29" t="str">
        <f t="shared" si="1"/>
        <v>A</v>
      </c>
      <c r="J12" s="29">
        <v>72</v>
      </c>
      <c r="K12" s="27" t="str">
        <f t="shared" si="2"/>
        <v>B</v>
      </c>
      <c r="L12" s="29">
        <v>62</v>
      </c>
      <c r="M12" s="29" t="str">
        <f t="shared" si="3"/>
        <v>C</v>
      </c>
      <c r="N12" s="29">
        <v>69</v>
      </c>
      <c r="O12" s="29" t="str">
        <f t="shared" si="4"/>
        <v>B</v>
      </c>
      <c r="P12" s="51">
        <v>77</v>
      </c>
      <c r="Q12" s="32" t="str">
        <f t="shared" si="19"/>
        <v>A</v>
      </c>
      <c r="R12" s="51">
        <v>85</v>
      </c>
      <c r="S12" s="32" t="str">
        <f t="shared" si="5"/>
        <v>A</v>
      </c>
      <c r="T12" s="51">
        <v>44</v>
      </c>
      <c r="U12" s="32" t="str">
        <f t="shared" si="6"/>
        <v>S</v>
      </c>
      <c r="V12" s="52"/>
      <c r="W12" s="33"/>
      <c r="X12" s="52"/>
      <c r="Y12" s="33"/>
      <c r="Z12" s="52">
        <v>74</v>
      </c>
      <c r="AA12" s="33" t="str">
        <f>IF(Z12&gt;=75,"A",IF(Z12&gt;=65,"B",IF(Z12&gt;=50,"C",IF(Z12&gt;=40,"S","W"))))</f>
        <v>B</v>
      </c>
      <c r="AB12" s="106">
        <v>71</v>
      </c>
      <c r="AC12" s="106" t="str">
        <f t="shared" si="7"/>
        <v>B</v>
      </c>
      <c r="AD12" s="106">
        <v>93</v>
      </c>
      <c r="AE12" s="322" t="str">
        <f t="shared" si="8"/>
        <v>A</v>
      </c>
      <c r="AF12" s="34">
        <f t="shared" si="9"/>
        <v>841</v>
      </c>
      <c r="AG12" s="35">
        <f t="shared" si="10"/>
        <v>70.0833333333333</v>
      </c>
      <c r="AH12" s="34">
        <f t="shared" si="11"/>
        <v>2</v>
      </c>
      <c r="AI12" s="375">
        <f t="shared" si="12"/>
        <v>4</v>
      </c>
      <c r="AJ12" s="375">
        <f t="shared" si="13"/>
        <v>4</v>
      </c>
      <c r="AK12" s="375">
        <f t="shared" si="14"/>
        <v>2</v>
      </c>
      <c r="AL12" s="375">
        <f t="shared" si="15"/>
        <v>2</v>
      </c>
      <c r="AM12" s="375">
        <f t="shared" si="16"/>
        <v>0</v>
      </c>
      <c r="AN12" s="156">
        <f t="shared" si="17"/>
        <v>0</v>
      </c>
    </row>
    <row r="13" ht="15.6" spans="1:40">
      <c r="A13" s="124">
        <v>6</v>
      </c>
      <c r="B13" s="371" t="s">
        <v>210</v>
      </c>
      <c r="C13" s="372" t="s">
        <v>205</v>
      </c>
      <c r="D13" s="29">
        <v>52</v>
      </c>
      <c r="E13" s="29" t="str">
        <f t="shared" si="18"/>
        <v>C</v>
      </c>
      <c r="F13" s="29">
        <v>34</v>
      </c>
      <c r="G13" s="27" t="str">
        <f t="shared" si="0"/>
        <v>W</v>
      </c>
      <c r="H13" s="29">
        <v>74</v>
      </c>
      <c r="I13" s="29" t="str">
        <f t="shared" si="1"/>
        <v>B</v>
      </c>
      <c r="J13" s="29">
        <v>74</v>
      </c>
      <c r="K13" s="27" t="str">
        <f t="shared" si="2"/>
        <v>B</v>
      </c>
      <c r="L13" s="29">
        <v>34</v>
      </c>
      <c r="M13" s="29" t="str">
        <f t="shared" si="3"/>
        <v>W</v>
      </c>
      <c r="N13" s="29">
        <v>49</v>
      </c>
      <c r="O13" s="29" t="str">
        <f t="shared" si="4"/>
        <v>S</v>
      </c>
      <c r="P13" s="51">
        <v>61</v>
      </c>
      <c r="Q13" s="32" t="str">
        <f t="shared" si="19"/>
        <v>C</v>
      </c>
      <c r="R13" s="51">
        <v>61</v>
      </c>
      <c r="S13" s="32" t="str">
        <f t="shared" si="5"/>
        <v>C</v>
      </c>
      <c r="T13" s="51">
        <v>43</v>
      </c>
      <c r="U13" s="32" t="str">
        <f t="shared" si="6"/>
        <v>S</v>
      </c>
      <c r="V13" s="52"/>
      <c r="W13" s="33"/>
      <c r="X13" s="52">
        <v>60</v>
      </c>
      <c r="Y13" s="33" t="str">
        <f>IF(X13&gt;=75,"A",IF(X13&gt;=65,"B",IF(X13&gt;=50,"C",IF(X13&gt;=40,"S","W"))))</f>
        <v>C</v>
      </c>
      <c r="Z13" s="52"/>
      <c r="AA13" s="33"/>
      <c r="AB13" s="106">
        <v>75</v>
      </c>
      <c r="AC13" s="106" t="str">
        <f t="shared" si="7"/>
        <v>A</v>
      </c>
      <c r="AD13" s="106">
        <v>87</v>
      </c>
      <c r="AE13" s="322" t="str">
        <f t="shared" si="8"/>
        <v>A</v>
      </c>
      <c r="AF13" s="34">
        <f t="shared" si="9"/>
        <v>704</v>
      </c>
      <c r="AG13" s="35">
        <f t="shared" si="10"/>
        <v>58.6666666666667</v>
      </c>
      <c r="AH13" s="34">
        <f t="shared" si="11"/>
        <v>7</v>
      </c>
      <c r="AI13" s="375">
        <f t="shared" si="12"/>
        <v>2</v>
      </c>
      <c r="AJ13" s="375">
        <f t="shared" si="13"/>
        <v>2</v>
      </c>
      <c r="AK13" s="375">
        <f t="shared" si="14"/>
        <v>4</v>
      </c>
      <c r="AL13" s="375">
        <f t="shared" si="15"/>
        <v>2</v>
      </c>
      <c r="AM13" s="375">
        <f t="shared" si="16"/>
        <v>2</v>
      </c>
      <c r="AN13" s="156">
        <f t="shared" si="17"/>
        <v>0</v>
      </c>
    </row>
    <row r="14" ht="15.6" spans="1:40">
      <c r="A14" s="24">
        <v>7</v>
      </c>
      <c r="B14" s="371" t="s">
        <v>211</v>
      </c>
      <c r="C14" s="372" t="s">
        <v>205</v>
      </c>
      <c r="D14" s="29">
        <v>60</v>
      </c>
      <c r="E14" s="29" t="str">
        <f t="shared" si="18"/>
        <v>C</v>
      </c>
      <c r="F14" s="29">
        <v>56</v>
      </c>
      <c r="G14" s="27" t="str">
        <f t="shared" si="0"/>
        <v>C</v>
      </c>
      <c r="H14" s="29">
        <v>67</v>
      </c>
      <c r="I14" s="29" t="str">
        <f t="shared" si="1"/>
        <v>B</v>
      </c>
      <c r="J14" s="29">
        <v>71</v>
      </c>
      <c r="K14" s="27" t="str">
        <f t="shared" si="2"/>
        <v>B</v>
      </c>
      <c r="L14" s="29">
        <v>38</v>
      </c>
      <c r="M14" s="29" t="str">
        <f t="shared" si="3"/>
        <v>W</v>
      </c>
      <c r="N14" s="29">
        <v>77</v>
      </c>
      <c r="O14" s="29" t="str">
        <f t="shared" si="4"/>
        <v>A</v>
      </c>
      <c r="P14" s="51">
        <v>47</v>
      </c>
      <c r="Q14" s="32" t="str">
        <f t="shared" si="19"/>
        <v>S</v>
      </c>
      <c r="R14" s="51">
        <v>53</v>
      </c>
      <c r="S14" s="32" t="str">
        <f t="shared" si="5"/>
        <v>C</v>
      </c>
      <c r="T14" s="51">
        <v>81</v>
      </c>
      <c r="U14" s="32" t="str">
        <f t="shared" si="6"/>
        <v>A</v>
      </c>
      <c r="V14" s="52"/>
      <c r="W14" s="33"/>
      <c r="X14" s="52"/>
      <c r="Y14" s="33"/>
      <c r="Z14" s="52">
        <v>78</v>
      </c>
      <c r="AA14" s="33" t="str">
        <f>IF(Z14&gt;=75,"A",IF(Z14&gt;=65,"B",IF(Z14&gt;=50,"C",IF(Z14&gt;=40,"S","W"))))</f>
        <v>A</v>
      </c>
      <c r="AB14" s="106">
        <v>62</v>
      </c>
      <c r="AC14" s="106" t="str">
        <f t="shared" si="7"/>
        <v>C</v>
      </c>
      <c r="AD14" s="106">
        <v>90</v>
      </c>
      <c r="AE14" s="322" t="str">
        <f t="shared" si="8"/>
        <v>A</v>
      </c>
      <c r="AF14" s="34">
        <f t="shared" si="9"/>
        <v>780</v>
      </c>
      <c r="AG14" s="35">
        <f t="shared" si="10"/>
        <v>65</v>
      </c>
      <c r="AH14" s="34">
        <f t="shared" si="11"/>
        <v>5</v>
      </c>
      <c r="AI14" s="375">
        <f t="shared" si="12"/>
        <v>4</v>
      </c>
      <c r="AJ14" s="375">
        <f t="shared" si="13"/>
        <v>2</v>
      </c>
      <c r="AK14" s="375">
        <f t="shared" si="14"/>
        <v>4</v>
      </c>
      <c r="AL14" s="375">
        <f t="shared" si="15"/>
        <v>1</v>
      </c>
      <c r="AM14" s="375">
        <f t="shared" si="16"/>
        <v>1</v>
      </c>
      <c r="AN14" s="156">
        <f t="shared" si="17"/>
        <v>0</v>
      </c>
    </row>
    <row r="15" ht="15.6" spans="1:40">
      <c r="A15" s="124">
        <v>8</v>
      </c>
      <c r="B15" s="371" t="s">
        <v>212</v>
      </c>
      <c r="C15" s="372" t="s">
        <v>205</v>
      </c>
      <c r="D15" s="29">
        <v>41</v>
      </c>
      <c r="E15" s="29" t="str">
        <f t="shared" si="18"/>
        <v>S</v>
      </c>
      <c r="F15" s="29">
        <v>69</v>
      </c>
      <c r="G15" s="27" t="str">
        <f t="shared" si="0"/>
        <v>B</v>
      </c>
      <c r="H15" s="29">
        <v>82</v>
      </c>
      <c r="I15" s="29" t="str">
        <f t="shared" si="1"/>
        <v>A</v>
      </c>
      <c r="J15" s="29">
        <v>68</v>
      </c>
      <c r="K15" s="27" t="str">
        <f t="shared" si="2"/>
        <v>B</v>
      </c>
      <c r="L15" s="29">
        <v>55</v>
      </c>
      <c r="M15" s="29" t="str">
        <f t="shared" si="3"/>
        <v>C</v>
      </c>
      <c r="N15" s="29">
        <v>77</v>
      </c>
      <c r="O15" s="29" t="str">
        <f t="shared" si="4"/>
        <v>A</v>
      </c>
      <c r="P15" s="51">
        <v>74</v>
      </c>
      <c r="Q15" s="32" t="str">
        <f t="shared" si="19"/>
        <v>B</v>
      </c>
      <c r="R15" s="51">
        <v>60</v>
      </c>
      <c r="S15" s="32" t="str">
        <f t="shared" si="5"/>
        <v>C</v>
      </c>
      <c r="T15" s="51">
        <v>86</v>
      </c>
      <c r="U15" s="32" t="str">
        <f t="shared" si="6"/>
        <v>A</v>
      </c>
      <c r="V15" s="52"/>
      <c r="W15" s="33"/>
      <c r="X15" s="52">
        <v>51</v>
      </c>
      <c r="Y15" s="33" t="str">
        <f>IF(X15&gt;=75,"A",IF(X15&gt;=65,"B",IF(X15&gt;=50,"C",IF(X15&gt;=40,"S","W"))))</f>
        <v>C</v>
      </c>
      <c r="Z15" s="52"/>
      <c r="AA15" s="33"/>
      <c r="AB15" s="106">
        <v>61</v>
      </c>
      <c r="AC15" s="106" t="str">
        <f t="shared" si="7"/>
        <v>C</v>
      </c>
      <c r="AD15" s="106">
        <v>90</v>
      </c>
      <c r="AE15" s="322" t="str">
        <f t="shared" si="8"/>
        <v>A</v>
      </c>
      <c r="AF15" s="34">
        <f t="shared" si="9"/>
        <v>814</v>
      </c>
      <c r="AG15" s="35">
        <f t="shared" si="10"/>
        <v>67.8333333333333</v>
      </c>
      <c r="AH15" s="34">
        <f t="shared" si="11"/>
        <v>3</v>
      </c>
      <c r="AI15" s="375">
        <f t="shared" si="12"/>
        <v>4</v>
      </c>
      <c r="AJ15" s="375">
        <f t="shared" si="13"/>
        <v>3</v>
      </c>
      <c r="AK15" s="375">
        <f t="shared" si="14"/>
        <v>4</v>
      </c>
      <c r="AL15" s="375">
        <f t="shared" si="15"/>
        <v>1</v>
      </c>
      <c r="AM15" s="375">
        <f t="shared" si="16"/>
        <v>0</v>
      </c>
      <c r="AN15" s="156">
        <f t="shared" si="17"/>
        <v>0</v>
      </c>
    </row>
    <row r="16" ht="15.6" spans="1:40">
      <c r="A16" s="24">
        <v>9</v>
      </c>
      <c r="B16" s="371" t="s">
        <v>213</v>
      </c>
      <c r="C16" s="372" t="s">
        <v>205</v>
      </c>
      <c r="D16" s="29">
        <v>74</v>
      </c>
      <c r="E16" s="29" t="str">
        <f t="shared" si="18"/>
        <v>B</v>
      </c>
      <c r="F16" s="29">
        <v>38</v>
      </c>
      <c r="G16" s="27" t="str">
        <f t="shared" si="0"/>
        <v>W</v>
      </c>
      <c r="H16" s="29">
        <v>90</v>
      </c>
      <c r="I16" s="29" t="str">
        <f t="shared" si="1"/>
        <v>A</v>
      </c>
      <c r="J16" s="29">
        <v>71</v>
      </c>
      <c r="K16" s="27" t="str">
        <f t="shared" si="2"/>
        <v>B</v>
      </c>
      <c r="L16" s="29">
        <v>52</v>
      </c>
      <c r="M16" s="29" t="str">
        <f t="shared" si="3"/>
        <v>C</v>
      </c>
      <c r="N16" s="29">
        <v>89</v>
      </c>
      <c r="O16" s="29" t="str">
        <f t="shared" si="4"/>
        <v>A</v>
      </c>
      <c r="P16" s="51">
        <v>80</v>
      </c>
      <c r="Q16" s="32" t="str">
        <f t="shared" si="19"/>
        <v>A</v>
      </c>
      <c r="R16" s="51">
        <v>81</v>
      </c>
      <c r="S16" s="32" t="str">
        <f t="shared" si="5"/>
        <v>A</v>
      </c>
      <c r="T16" s="51">
        <v>92</v>
      </c>
      <c r="U16" s="32" t="str">
        <f t="shared" si="6"/>
        <v>A</v>
      </c>
      <c r="V16" s="52"/>
      <c r="W16" s="33"/>
      <c r="X16" s="52">
        <v>58</v>
      </c>
      <c r="Y16" s="33" t="str">
        <f>IF(X16&gt;=75,"A",IF(X16&gt;=65,"B",IF(X16&gt;=50,"C",IF(X16&gt;=40,"S","W"))))</f>
        <v>C</v>
      </c>
      <c r="Z16" s="52"/>
      <c r="AA16" s="33"/>
      <c r="AB16" s="106">
        <v>78</v>
      </c>
      <c r="AC16" s="106" t="str">
        <f t="shared" si="7"/>
        <v>A</v>
      </c>
      <c r="AD16" s="106">
        <v>85</v>
      </c>
      <c r="AE16" s="322" t="str">
        <f t="shared" si="8"/>
        <v>A</v>
      </c>
      <c r="AF16" s="34">
        <f t="shared" si="9"/>
        <v>888</v>
      </c>
      <c r="AG16" s="35">
        <f t="shared" si="10"/>
        <v>74</v>
      </c>
      <c r="AH16" s="34">
        <f t="shared" si="11"/>
        <v>1</v>
      </c>
      <c r="AI16" s="375">
        <f t="shared" si="12"/>
        <v>7</v>
      </c>
      <c r="AJ16" s="375">
        <f t="shared" si="13"/>
        <v>2</v>
      </c>
      <c r="AK16" s="375">
        <f t="shared" si="14"/>
        <v>2</v>
      </c>
      <c r="AL16" s="375">
        <f t="shared" si="15"/>
        <v>0</v>
      </c>
      <c r="AM16" s="375">
        <f t="shared" si="16"/>
        <v>1</v>
      </c>
      <c r="AN16" s="156">
        <f t="shared" si="17"/>
        <v>0</v>
      </c>
    </row>
    <row r="17" ht="15.6" spans="1:40">
      <c r="A17" s="124">
        <v>10</v>
      </c>
      <c r="B17" s="371" t="s">
        <v>214</v>
      </c>
      <c r="C17" s="372" t="s">
        <v>205</v>
      </c>
      <c r="D17" s="29">
        <v>46</v>
      </c>
      <c r="E17" s="29" t="str">
        <f t="shared" si="18"/>
        <v>S</v>
      </c>
      <c r="F17" s="29">
        <v>23</v>
      </c>
      <c r="G17" s="27" t="str">
        <f t="shared" si="0"/>
        <v>W</v>
      </c>
      <c r="H17" s="29">
        <v>65</v>
      </c>
      <c r="I17" s="29" t="str">
        <f t="shared" si="1"/>
        <v>B</v>
      </c>
      <c r="J17" s="29">
        <v>50</v>
      </c>
      <c r="K17" s="27" t="str">
        <f t="shared" si="2"/>
        <v>C</v>
      </c>
      <c r="L17" s="29">
        <v>45</v>
      </c>
      <c r="M17" s="29" t="str">
        <f t="shared" si="3"/>
        <v>S</v>
      </c>
      <c r="N17" s="29">
        <v>47</v>
      </c>
      <c r="O17" s="29" t="str">
        <f t="shared" si="4"/>
        <v>S</v>
      </c>
      <c r="P17" s="51">
        <v>60</v>
      </c>
      <c r="Q17" s="32" t="str">
        <f t="shared" si="19"/>
        <v>C</v>
      </c>
      <c r="R17" s="51">
        <v>56</v>
      </c>
      <c r="S17" s="32" t="str">
        <f t="shared" si="5"/>
        <v>C</v>
      </c>
      <c r="T17" s="51">
        <v>48</v>
      </c>
      <c r="U17" s="32" t="str">
        <f t="shared" si="6"/>
        <v>S</v>
      </c>
      <c r="V17" s="52"/>
      <c r="W17" s="33"/>
      <c r="X17" s="52">
        <v>68</v>
      </c>
      <c r="Y17" s="33" t="str">
        <f>IF(X17&gt;=75,"A",IF(X17&gt;=65,"B",IF(X17&gt;=50,"C",IF(X17&gt;=40,"S","W"))))</f>
        <v>B</v>
      </c>
      <c r="Z17" s="52"/>
      <c r="AA17" s="33"/>
      <c r="AB17" s="106">
        <v>65</v>
      </c>
      <c r="AC17" s="106" t="str">
        <f t="shared" si="7"/>
        <v>B</v>
      </c>
      <c r="AD17" s="106">
        <v>85</v>
      </c>
      <c r="AE17" s="322" t="str">
        <f t="shared" si="8"/>
        <v>A</v>
      </c>
      <c r="AF17" s="34">
        <f t="shared" si="9"/>
        <v>658</v>
      </c>
      <c r="AG17" s="35">
        <f t="shared" si="10"/>
        <v>54.8333333333333</v>
      </c>
      <c r="AH17" s="34">
        <f t="shared" si="11"/>
        <v>8</v>
      </c>
      <c r="AI17" s="375">
        <f t="shared" si="12"/>
        <v>1</v>
      </c>
      <c r="AJ17" s="375">
        <f t="shared" si="13"/>
        <v>3</v>
      </c>
      <c r="AK17" s="375">
        <f t="shared" si="14"/>
        <v>3</v>
      </c>
      <c r="AL17" s="375">
        <f t="shared" si="15"/>
        <v>4</v>
      </c>
      <c r="AM17" s="375">
        <f t="shared" si="16"/>
        <v>1</v>
      </c>
      <c r="AN17" s="156">
        <f t="shared" si="17"/>
        <v>0</v>
      </c>
    </row>
    <row r="18" ht="15.6" spans="1:40">
      <c r="A18" s="24">
        <v>11</v>
      </c>
      <c r="B18" s="371" t="s">
        <v>215</v>
      </c>
      <c r="C18" s="372" t="s">
        <v>205</v>
      </c>
      <c r="D18" s="29">
        <v>52</v>
      </c>
      <c r="E18" s="29" t="str">
        <f t="shared" si="18"/>
        <v>C</v>
      </c>
      <c r="F18" s="29">
        <v>42</v>
      </c>
      <c r="G18" s="27" t="str">
        <f t="shared" si="0"/>
        <v>S</v>
      </c>
      <c r="H18" s="29">
        <v>65</v>
      </c>
      <c r="I18" s="29" t="str">
        <f t="shared" si="1"/>
        <v>B</v>
      </c>
      <c r="J18" s="29">
        <v>55</v>
      </c>
      <c r="K18" s="27" t="str">
        <f t="shared" si="2"/>
        <v>C</v>
      </c>
      <c r="L18" s="29">
        <v>54</v>
      </c>
      <c r="M18" s="29" t="str">
        <f t="shared" si="3"/>
        <v>C</v>
      </c>
      <c r="N18" s="29">
        <v>49</v>
      </c>
      <c r="O18" s="29" t="str">
        <f t="shared" si="4"/>
        <v>S</v>
      </c>
      <c r="P18" s="51">
        <v>57</v>
      </c>
      <c r="Q18" s="32" t="str">
        <f t="shared" si="19"/>
        <v>C</v>
      </c>
      <c r="R18" s="51">
        <v>61</v>
      </c>
      <c r="S18" s="32" t="str">
        <f t="shared" si="5"/>
        <v>C</v>
      </c>
      <c r="T18" s="51">
        <v>85</v>
      </c>
      <c r="U18" s="32" t="str">
        <f t="shared" si="6"/>
        <v>A</v>
      </c>
      <c r="V18" s="52"/>
      <c r="W18" s="33"/>
      <c r="X18" s="52">
        <v>57</v>
      </c>
      <c r="Y18" s="33" t="str">
        <f>IF(X18&gt;=75,"A",IF(X18&gt;=65,"B",IF(X18&gt;=50,"C",IF(X18&gt;=40,"S","W"))))</f>
        <v>C</v>
      </c>
      <c r="Z18" s="52"/>
      <c r="AA18" s="33"/>
      <c r="AB18" s="106">
        <v>68</v>
      </c>
      <c r="AC18" s="106" t="str">
        <f t="shared" si="7"/>
        <v>B</v>
      </c>
      <c r="AD18" s="106">
        <v>87</v>
      </c>
      <c r="AE18" s="322" t="str">
        <f t="shared" si="8"/>
        <v>A</v>
      </c>
      <c r="AF18" s="34">
        <f t="shared" si="9"/>
        <v>732</v>
      </c>
      <c r="AG18" s="35">
        <f t="shared" si="10"/>
        <v>61</v>
      </c>
      <c r="AH18" s="34">
        <f t="shared" si="11"/>
        <v>6</v>
      </c>
      <c r="AI18" s="375">
        <f t="shared" si="12"/>
        <v>2</v>
      </c>
      <c r="AJ18" s="375">
        <f t="shared" si="13"/>
        <v>2</v>
      </c>
      <c r="AK18" s="375">
        <f t="shared" si="14"/>
        <v>6</v>
      </c>
      <c r="AL18" s="375">
        <f t="shared" si="15"/>
        <v>2</v>
      </c>
      <c r="AM18" s="375">
        <f t="shared" si="16"/>
        <v>0</v>
      </c>
      <c r="AN18" s="156">
        <f t="shared" si="17"/>
        <v>0</v>
      </c>
    </row>
    <row r="19" ht="15.6" spans="1:40">
      <c r="A19" s="53" t="s">
        <v>62</v>
      </c>
      <c r="B19" s="54"/>
      <c r="C19" s="55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70"/>
      <c r="AG19" s="70"/>
      <c r="AH19" s="70"/>
      <c r="AI19" s="378"/>
      <c r="AJ19" s="378"/>
      <c r="AK19" s="378"/>
      <c r="AL19" s="378"/>
      <c r="AM19" s="378"/>
      <c r="AN19" s="379"/>
    </row>
    <row r="20" ht="15.6" spans="1:40">
      <c r="A20" s="53" t="s">
        <v>63</v>
      </c>
      <c r="B20" s="54"/>
      <c r="C20" s="61" t="s">
        <v>24</v>
      </c>
      <c r="D20" s="156"/>
      <c r="E20" s="19">
        <f>COUNTIF(E8:E18,"A")</f>
        <v>0</v>
      </c>
      <c r="F20" s="156"/>
      <c r="G20" s="19">
        <f>COUNTIF(G8:G18,"A")</f>
        <v>0</v>
      </c>
      <c r="H20" s="156"/>
      <c r="I20" s="19">
        <f>COUNTIF(I8:I18,"A")</f>
        <v>4</v>
      </c>
      <c r="J20" s="156"/>
      <c r="K20" s="19">
        <f>COUNTIF(K8:K18,"A")</f>
        <v>1</v>
      </c>
      <c r="L20" s="19"/>
      <c r="M20" s="19">
        <f>COUNTIF(M8:M18,"A")</f>
        <v>0</v>
      </c>
      <c r="N20" s="19"/>
      <c r="O20" s="19">
        <f>COUNTIF(O8:O18,"A")</f>
        <v>3</v>
      </c>
      <c r="P20" s="19"/>
      <c r="Q20" s="19">
        <f>COUNTIF(Q8:Q18,"A")</f>
        <v>2</v>
      </c>
      <c r="R20" s="156"/>
      <c r="S20" s="19">
        <f>COUNTIF(S8:S18,"A")</f>
        <v>2</v>
      </c>
      <c r="T20" s="156"/>
      <c r="U20" s="19">
        <f>COUNTIF(U8:U18,"A")</f>
        <v>5</v>
      </c>
      <c r="V20" s="156"/>
      <c r="W20" s="19">
        <f>COUNTIF(W8:W18,"A")</f>
        <v>0</v>
      </c>
      <c r="X20" s="156"/>
      <c r="Y20" s="19">
        <f>COUNTIF(Y8:Y18,"A")</f>
        <v>1</v>
      </c>
      <c r="Z20" s="156"/>
      <c r="AA20" s="19">
        <f>COUNTIF(AA8:AA18,"A")</f>
        <v>1</v>
      </c>
      <c r="AB20" s="156"/>
      <c r="AC20" s="19">
        <f>COUNTIF(AC8:AC18,"A")</f>
        <v>3</v>
      </c>
      <c r="AD20" s="156"/>
      <c r="AE20" s="19">
        <f>COUNTIF(AE8:AE18,"A")</f>
        <v>10</v>
      </c>
      <c r="AF20" s="380"/>
      <c r="AG20" s="380"/>
      <c r="AH20" s="380"/>
      <c r="AI20" s="378"/>
      <c r="AJ20" s="378"/>
      <c r="AK20" s="378"/>
      <c r="AL20" s="378"/>
      <c r="AM20" s="378"/>
      <c r="AN20" s="379"/>
    </row>
    <row r="21" ht="15.6" spans="1:40">
      <c r="A21" s="53" t="s">
        <v>64</v>
      </c>
      <c r="B21" s="54"/>
      <c r="C21" s="55" t="s">
        <v>25</v>
      </c>
      <c r="D21" s="156"/>
      <c r="E21" s="19">
        <f>COUNTIF(E8:E18,"B")</f>
        <v>2</v>
      </c>
      <c r="F21" s="156"/>
      <c r="G21" s="19">
        <f>COUNTIF(G8:G18,"B")</f>
        <v>1</v>
      </c>
      <c r="H21" s="156"/>
      <c r="I21" s="19">
        <f>COUNTIF(I8:I18,"B")</f>
        <v>4</v>
      </c>
      <c r="J21" s="156"/>
      <c r="K21" s="19">
        <f>COUNTIF(K8:K18,"B")</f>
        <v>6</v>
      </c>
      <c r="L21" s="156"/>
      <c r="M21" s="19">
        <f>COUNTIF(M8:M18,"B")</f>
        <v>0</v>
      </c>
      <c r="N21" s="156"/>
      <c r="O21" s="19">
        <f>COUNTIF(O8:O18,"B")</f>
        <v>1</v>
      </c>
      <c r="P21" s="156"/>
      <c r="Q21" s="19">
        <f>COUNTIF(Q8:Q18,"B")</f>
        <v>2</v>
      </c>
      <c r="R21" s="156"/>
      <c r="S21" s="19">
        <f>COUNTIF(S8:S18,"B")</f>
        <v>0</v>
      </c>
      <c r="T21" s="156"/>
      <c r="U21" s="19">
        <f>COUNTIF(U8:U18,"B")</f>
        <v>0</v>
      </c>
      <c r="V21" s="156"/>
      <c r="W21" s="19">
        <f>COUNTIF(W8:W18,"B")</f>
        <v>0</v>
      </c>
      <c r="X21" s="156"/>
      <c r="Y21" s="19">
        <f>COUNTIF(Y8:Y18,"B")</f>
        <v>1</v>
      </c>
      <c r="Z21" s="156"/>
      <c r="AA21" s="19">
        <f>COUNTIF(AA8:AA18,"B")</f>
        <v>1</v>
      </c>
      <c r="AB21" s="156"/>
      <c r="AC21" s="19">
        <f>COUNTIF(AC8:AC18,"B")</f>
        <v>3</v>
      </c>
      <c r="AD21" s="156"/>
      <c r="AE21" s="19">
        <f>COUNTIF(AE8:AE18,"B")</f>
        <v>0</v>
      </c>
      <c r="AF21" s="380"/>
      <c r="AG21" s="380"/>
      <c r="AH21" s="380"/>
      <c r="AI21" s="378"/>
      <c r="AJ21" s="378"/>
      <c r="AK21" s="378"/>
      <c r="AL21" s="378"/>
      <c r="AM21" s="378"/>
      <c r="AN21" s="70"/>
    </row>
    <row r="22" ht="15.6" spans="1:40">
      <c r="A22" s="53" t="s">
        <v>65</v>
      </c>
      <c r="B22" s="54"/>
      <c r="C22" s="55" t="s">
        <v>26</v>
      </c>
      <c r="D22" s="156"/>
      <c r="E22" s="19">
        <f>COUNTIF(E8:E18,"C")</f>
        <v>5</v>
      </c>
      <c r="F22" s="156"/>
      <c r="G22" s="19">
        <f>COUNTIF(G8:G18,"C")</f>
        <v>1</v>
      </c>
      <c r="H22" s="156"/>
      <c r="I22" s="19">
        <f>COUNTIF(I8:I18,"C")</f>
        <v>2</v>
      </c>
      <c r="J22" s="156"/>
      <c r="K22" s="19">
        <f>COUNTIF(K8:K18,"C")</f>
        <v>3</v>
      </c>
      <c r="L22" s="156"/>
      <c r="M22" s="19">
        <f>COUNTIF(M8:M18,"C")</f>
        <v>5</v>
      </c>
      <c r="N22" s="156"/>
      <c r="O22" s="19">
        <f>COUNTIF(O8:O18,"C")</f>
        <v>1</v>
      </c>
      <c r="P22" s="156"/>
      <c r="Q22" s="19">
        <f>COUNTIF(Q8:Q18,"C")</f>
        <v>3</v>
      </c>
      <c r="R22" s="156"/>
      <c r="S22" s="19">
        <f>COUNTIF(S8:S18,"C")</f>
        <v>6</v>
      </c>
      <c r="T22" s="156"/>
      <c r="U22" s="19">
        <f>COUNTIF(U8:U18,"C")</f>
        <v>2</v>
      </c>
      <c r="V22" s="156"/>
      <c r="W22" s="19">
        <f>COUNTIF(W8:W18,"C")</f>
        <v>2</v>
      </c>
      <c r="X22" s="156"/>
      <c r="Y22" s="19">
        <f>COUNTIF(Y8:Y18,"C")</f>
        <v>4</v>
      </c>
      <c r="Z22" s="156"/>
      <c r="AA22" s="19">
        <f>COUNTIF(AA8:AA18,"C")</f>
        <v>0</v>
      </c>
      <c r="AB22" s="156"/>
      <c r="AC22" s="19">
        <f>COUNTIF(AC8:AC18,"C")</f>
        <v>3</v>
      </c>
      <c r="AD22" s="156"/>
      <c r="AE22" s="19">
        <f>COUNTIF(AE8:AE18,"C")</f>
        <v>0</v>
      </c>
      <c r="AF22" s="380"/>
      <c r="AG22" s="380"/>
      <c r="AH22" s="380"/>
      <c r="AI22" s="378"/>
      <c r="AJ22" s="378"/>
      <c r="AK22" s="378"/>
      <c r="AL22" s="378"/>
      <c r="AM22" s="378"/>
      <c r="AN22" s="70"/>
    </row>
    <row r="23" ht="15.6" spans="1:40">
      <c r="A23" s="53" t="s">
        <v>66</v>
      </c>
      <c r="B23" s="54"/>
      <c r="C23" s="55" t="s">
        <v>27</v>
      </c>
      <c r="D23" s="156"/>
      <c r="E23" s="19">
        <f>COUNTIF(E8:E18,"S")</f>
        <v>2</v>
      </c>
      <c r="F23" s="156"/>
      <c r="G23" s="19">
        <f>COUNTIF(G8:G18,"S")</f>
        <v>2</v>
      </c>
      <c r="H23" s="156"/>
      <c r="I23" s="19">
        <f>COUNTIF(I8:I18,"S")</f>
        <v>0</v>
      </c>
      <c r="J23" s="156"/>
      <c r="K23" s="19">
        <f>COUNTIF(K8:K18,"S")</f>
        <v>0</v>
      </c>
      <c r="L23" s="156"/>
      <c r="M23" s="19">
        <f>COUNTIF(M8:M18,"S")</f>
        <v>2</v>
      </c>
      <c r="N23" s="156"/>
      <c r="O23" s="19">
        <f>COUNTIF(O8:O18,"S")</f>
        <v>4</v>
      </c>
      <c r="P23" s="156"/>
      <c r="Q23" s="19">
        <f>COUNTIF(Q8:Q18,"S")</f>
        <v>1</v>
      </c>
      <c r="R23" s="156"/>
      <c r="S23" s="19">
        <f>COUNTIF(S8:S18,"S")</f>
        <v>1</v>
      </c>
      <c r="T23" s="156"/>
      <c r="U23" s="19">
        <f>COUNTIF(U8:U18,"S")</f>
        <v>3</v>
      </c>
      <c r="V23" s="156"/>
      <c r="W23" s="19">
        <f>COUNTIF(W8:W18,"S")</f>
        <v>0</v>
      </c>
      <c r="X23" s="156"/>
      <c r="Y23" s="19">
        <f>COUNTIF(Y8:Y18,"S")</f>
        <v>0</v>
      </c>
      <c r="Z23" s="156"/>
      <c r="AA23" s="19">
        <f>COUNTIF(AA8:AA18,"S")</f>
        <v>0</v>
      </c>
      <c r="AB23" s="156"/>
      <c r="AC23" s="19">
        <f>COUNTIF(AC8:AC18,"S")</f>
        <v>1</v>
      </c>
      <c r="AD23" s="156"/>
      <c r="AE23" s="19">
        <f>COUNTIF(AE8:AE18,"S")</f>
        <v>0</v>
      </c>
      <c r="AF23" s="380"/>
      <c r="AG23" s="380"/>
      <c r="AH23" s="380"/>
      <c r="AI23" s="378"/>
      <c r="AJ23" s="378"/>
      <c r="AK23" s="378"/>
      <c r="AL23" s="378"/>
      <c r="AM23" s="378"/>
      <c r="AN23" s="70"/>
    </row>
    <row r="24" ht="15.6" spans="1:40">
      <c r="A24" s="53" t="s">
        <v>67</v>
      </c>
      <c r="B24" s="54"/>
      <c r="C24" s="55" t="s">
        <v>28</v>
      </c>
      <c r="D24" s="156"/>
      <c r="E24" s="19">
        <f>COUNTIF(E8:E18,"W")</f>
        <v>0</v>
      </c>
      <c r="F24" s="156"/>
      <c r="G24" s="19">
        <f>COUNTIF(G8:G18,"W")</f>
        <v>6</v>
      </c>
      <c r="H24" s="156"/>
      <c r="I24" s="19">
        <f>COUNTIF(I8:I18,"W")</f>
        <v>0</v>
      </c>
      <c r="J24" s="156"/>
      <c r="K24" s="19">
        <f>COUNTIF(K8:K18,"W")</f>
        <v>0</v>
      </c>
      <c r="L24" s="156"/>
      <c r="M24" s="19">
        <f>COUNTIF(M8:M18,"W")</f>
        <v>3</v>
      </c>
      <c r="N24" s="156"/>
      <c r="O24" s="19">
        <f>COUNTIF(O8:O18,"W")</f>
        <v>1</v>
      </c>
      <c r="P24" s="156"/>
      <c r="Q24" s="19">
        <f>COUNTIF(Q8:Q18,"W")</f>
        <v>1</v>
      </c>
      <c r="R24" s="156"/>
      <c r="S24" s="19">
        <f>COUNTIF(S8:S18,"W")</f>
        <v>1</v>
      </c>
      <c r="T24" s="156"/>
      <c r="U24" s="19">
        <f>COUNTIF(U8:U18,"W")</f>
        <v>0</v>
      </c>
      <c r="V24" s="156"/>
      <c r="W24" s="19">
        <f>COUNTIF(W8:W18,"W")</f>
        <v>0</v>
      </c>
      <c r="X24" s="156"/>
      <c r="Y24" s="19">
        <f>COUNTIF(Y8:Y18,"W")</f>
        <v>0</v>
      </c>
      <c r="Z24" s="156"/>
      <c r="AA24" s="19">
        <f>COUNTIF(AA8:AA18,"W")</f>
        <v>0</v>
      </c>
      <c r="AB24" s="156"/>
      <c r="AC24" s="19">
        <f>COUNTIF(AC8:AC18,"W")</f>
        <v>0</v>
      </c>
      <c r="AD24" s="156"/>
      <c r="AE24" s="19">
        <f>COUNTIF(AE8:AE18,"W")</f>
        <v>0</v>
      </c>
      <c r="AF24" s="380"/>
      <c r="AG24" s="380"/>
      <c r="AH24" s="380"/>
      <c r="AI24" s="378"/>
      <c r="AJ24" s="378"/>
      <c r="AK24" s="378"/>
      <c r="AL24" s="378"/>
      <c r="AM24" s="378"/>
      <c r="AN24" s="70"/>
    </row>
    <row r="25" ht="15.6" spans="1:40">
      <c r="A25" s="156"/>
      <c r="B25" s="156"/>
      <c r="C25" s="381" t="s">
        <v>29</v>
      </c>
      <c r="D25" s="156"/>
      <c r="E25" s="19">
        <f>COUNTIF(E8:E18,"AB")</f>
        <v>2</v>
      </c>
      <c r="F25" s="156"/>
      <c r="G25" s="19">
        <f>COUNTIF(G8:G18,"AB")</f>
        <v>1</v>
      </c>
      <c r="H25" s="156"/>
      <c r="I25" s="19">
        <f>COUNTIF(I8:I18,"AB")</f>
        <v>1</v>
      </c>
      <c r="J25" s="156"/>
      <c r="K25" s="19">
        <f>COUNTIF(K8:K18,"AB")</f>
        <v>1</v>
      </c>
      <c r="L25" s="156"/>
      <c r="M25" s="19">
        <f>COUNTIF(M8:M18,"AB")</f>
        <v>1</v>
      </c>
      <c r="N25" s="156"/>
      <c r="O25" s="19">
        <f>COUNTIF(O8:O18,"AB")</f>
        <v>1</v>
      </c>
      <c r="P25" s="156"/>
      <c r="Q25" s="19">
        <f>COUNTIF(Q8:Q18,"AB")</f>
        <v>2</v>
      </c>
      <c r="R25" s="156"/>
      <c r="S25" s="19">
        <f>COUNTIF(S8:S18,"AB")</f>
        <v>1</v>
      </c>
      <c r="T25" s="156"/>
      <c r="U25" s="19">
        <f>COUNTIF(U8:U18,"AB")</f>
        <v>1</v>
      </c>
      <c r="V25" s="156"/>
      <c r="W25" s="19">
        <f>COUNTIF(W8:W18,"AB")</f>
        <v>0</v>
      </c>
      <c r="X25" s="156"/>
      <c r="Y25" s="19">
        <f>COUNTIF(Y8:Y18,"AB")</f>
        <v>1</v>
      </c>
      <c r="Z25" s="156"/>
      <c r="AA25" s="19">
        <f>COUNTIF(AA8:AA18,"AB")</f>
        <v>0</v>
      </c>
      <c r="AB25" s="156"/>
      <c r="AC25" s="19">
        <f>COUNTIF(AC8:AC18,"AB")</f>
        <v>1</v>
      </c>
      <c r="AD25" s="156"/>
      <c r="AE25" s="19">
        <f>COUNTIF(AE8:AE18,"AB")</f>
        <v>1</v>
      </c>
      <c r="AF25" s="380"/>
      <c r="AG25" s="380"/>
      <c r="AH25" s="380"/>
      <c r="AI25" s="378"/>
      <c r="AJ25" s="378"/>
      <c r="AK25" s="378"/>
      <c r="AL25" s="378"/>
      <c r="AM25" s="378"/>
      <c r="AN25" s="70"/>
    </row>
    <row r="26" ht="15.6" spans="1:40">
      <c r="A26" s="156" t="s">
        <v>7</v>
      </c>
      <c r="B26" s="156"/>
      <c r="C26" s="381"/>
      <c r="D26" s="156"/>
      <c r="E26" s="156">
        <f>SUM(E20:E25)</f>
        <v>11</v>
      </c>
      <c r="F26" s="156"/>
      <c r="G26" s="156">
        <f>SUM(G20:G25)</f>
        <v>11</v>
      </c>
      <c r="H26" s="156"/>
      <c r="I26" s="156">
        <f>SUM(I20:I25)</f>
        <v>11</v>
      </c>
      <c r="J26" s="156"/>
      <c r="K26" s="156">
        <f>SUM(K20:K25)</f>
        <v>11</v>
      </c>
      <c r="L26" s="156"/>
      <c r="M26" s="156">
        <f>SUM(M20:M25)</f>
        <v>11</v>
      </c>
      <c r="N26" s="156"/>
      <c r="O26" s="156">
        <f>SUM(O20:O25)</f>
        <v>11</v>
      </c>
      <c r="P26" s="156"/>
      <c r="Q26" s="156">
        <f>SUM(Q20:Q25)</f>
        <v>11</v>
      </c>
      <c r="R26" s="156"/>
      <c r="S26" s="156">
        <f>SUM(S20:S25)</f>
        <v>11</v>
      </c>
      <c r="T26" s="156"/>
      <c r="U26" s="156">
        <f>SUM(U20:U25)</f>
        <v>11</v>
      </c>
      <c r="V26" s="156"/>
      <c r="W26" s="156">
        <f>SUM(W20:W25)</f>
        <v>2</v>
      </c>
      <c r="X26" s="156"/>
      <c r="Y26" s="156">
        <f>SUM(Y20:Y25)</f>
        <v>7</v>
      </c>
      <c r="Z26" s="156"/>
      <c r="AA26" s="156">
        <f>SUM(AA20:AA25)</f>
        <v>2</v>
      </c>
      <c r="AB26" s="156"/>
      <c r="AC26" s="156">
        <f>SUM(AC20:AC25)</f>
        <v>11</v>
      </c>
      <c r="AD26" s="156"/>
      <c r="AE26" s="156">
        <f>SUM(AE20:AE25)</f>
        <v>11</v>
      </c>
      <c r="AF26" s="70"/>
      <c r="AG26" s="70"/>
      <c r="AH26" s="70"/>
      <c r="AI26" s="378"/>
      <c r="AJ26" s="378"/>
      <c r="AK26" s="378"/>
      <c r="AL26" s="378"/>
      <c r="AM26" s="378"/>
      <c r="AN26" s="70"/>
    </row>
    <row r="27" spans="1:40">
      <c r="A27" s="123"/>
      <c r="B27" s="382"/>
      <c r="C27" s="382"/>
      <c r="AN27" s="2"/>
    </row>
    <row r="28" spans="1:40">
      <c r="A28" s="123"/>
      <c r="B28" s="383"/>
      <c r="C28" s="383"/>
      <c r="AN28" s="2"/>
    </row>
  </sheetData>
  <mergeCells count="16">
    <mergeCell ref="A1:AE1"/>
    <mergeCell ref="A3:AM3"/>
    <mergeCell ref="A4:AM4"/>
    <mergeCell ref="D6:AE6"/>
    <mergeCell ref="AI6:AN6"/>
    <mergeCell ref="A19:B19"/>
    <mergeCell ref="A20:B20"/>
    <mergeCell ref="A21:B21"/>
    <mergeCell ref="A22:B22"/>
    <mergeCell ref="A23:B23"/>
    <mergeCell ref="A24:B24"/>
    <mergeCell ref="A25:B25"/>
    <mergeCell ref="A26:B26"/>
    <mergeCell ref="A6:A7"/>
    <mergeCell ref="B6:B7"/>
    <mergeCell ref="C6:C7"/>
  </mergeCells>
  <pageMargins left="0.7" right="0.7" top="0.75" bottom="0.75" header="0.3" footer="0.3"/>
  <pageSetup paperSize="8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4"/>
  <sheetViews>
    <sheetView zoomScale="65" zoomScaleNormal="65" topLeftCell="A13" workbookViewId="0">
      <selection activeCell="W34" sqref="W34"/>
    </sheetView>
  </sheetViews>
  <sheetFormatPr defaultColWidth="9" defaultRowHeight="14.4"/>
  <cols>
    <col min="1" max="1" width="5.13888888888889" customWidth="1"/>
    <col min="2" max="2" width="35.287037037037" customWidth="1"/>
    <col min="3" max="3" width="4.71296296296296" style="342" customWidth="1"/>
    <col min="4" max="31" width="4.28703703703704" customWidth="1"/>
    <col min="32" max="32" width="5.57407407407407" customWidth="1"/>
    <col min="33" max="33" width="8.57407407407407" customWidth="1"/>
    <col min="34" max="34" width="4.28703703703704" customWidth="1"/>
    <col min="35" max="35" width="3.28703703703704" customWidth="1"/>
    <col min="36" max="36" width="3.42592592592593" customWidth="1"/>
    <col min="37" max="38" width="3.13888888888889" customWidth="1"/>
    <col min="39" max="40" width="4.28703703703704" customWidth="1"/>
  </cols>
  <sheetData>
    <row r="1" ht="25.8" spans="1:40">
      <c r="A1" s="3" t="s">
        <v>202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N1" s="2"/>
    </row>
    <row r="2" ht="3.6" customHeight="1" spans="1:40">
      <c r="K2" s="1"/>
      <c r="AN2" s="2"/>
    </row>
    <row r="3" ht="21" spans="1:40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2"/>
    </row>
    <row r="4" ht="21" spans="1:40">
      <c r="A4" s="5" t="s">
        <v>216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2"/>
    </row>
    <row r="5" ht="1.15" customHeight="1" spans="1:40">
      <c r="K5" s="1"/>
      <c r="AN5" s="2"/>
    </row>
    <row r="6" ht="15.6" spans="1:40">
      <c r="A6" s="6" t="s">
        <v>3</v>
      </c>
      <c r="B6" s="7" t="s">
        <v>4</v>
      </c>
      <c r="C6" s="343" t="s">
        <v>5</v>
      </c>
      <c r="D6" s="9" t="s">
        <v>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344"/>
      <c r="AG6" s="344"/>
      <c r="AH6" s="344"/>
      <c r="AI6" s="11" t="s">
        <v>7</v>
      </c>
      <c r="AJ6" s="12"/>
      <c r="AK6" s="12"/>
      <c r="AL6" s="12"/>
      <c r="AM6" s="12"/>
      <c r="AN6" s="12"/>
    </row>
    <row r="7" ht="68.45" customHeight="1" spans="1:40">
      <c r="A7" s="6"/>
      <c r="B7" s="6"/>
      <c r="C7" s="345"/>
      <c r="D7" s="14" t="s">
        <v>217</v>
      </c>
      <c r="E7" s="14"/>
      <c r="F7" s="14" t="s">
        <v>9</v>
      </c>
      <c r="G7" s="14"/>
      <c r="H7" s="14" t="s">
        <v>10</v>
      </c>
      <c r="I7" s="14"/>
      <c r="J7" s="14" t="s">
        <v>11</v>
      </c>
      <c r="K7" s="346"/>
      <c r="L7" s="14" t="s">
        <v>12</v>
      </c>
      <c r="M7" s="14"/>
      <c r="N7" s="14" t="s">
        <v>13</v>
      </c>
      <c r="O7" s="14"/>
      <c r="P7" s="171" t="s">
        <v>14</v>
      </c>
      <c r="Q7" s="16"/>
      <c r="R7" s="16" t="s">
        <v>15</v>
      </c>
      <c r="S7" s="16"/>
      <c r="T7" s="16" t="s">
        <v>16</v>
      </c>
      <c r="U7" s="16"/>
      <c r="V7" s="17" t="s">
        <v>17</v>
      </c>
      <c r="W7" s="17"/>
      <c r="X7" s="17" t="s">
        <v>18</v>
      </c>
      <c r="Y7" s="17"/>
      <c r="Z7" s="17" t="s">
        <v>19</v>
      </c>
      <c r="AA7" s="92"/>
      <c r="AB7" s="175" t="s">
        <v>20</v>
      </c>
      <c r="AC7" s="93"/>
      <c r="AD7" s="93" t="s">
        <v>21</v>
      </c>
      <c r="AE7" s="93"/>
      <c r="AF7" s="18" t="s">
        <v>7</v>
      </c>
      <c r="AG7" s="18" t="s">
        <v>22</v>
      </c>
      <c r="AH7" s="18" t="s">
        <v>23</v>
      </c>
      <c r="AI7" s="19" t="s">
        <v>24</v>
      </c>
      <c r="AJ7" s="20" t="s">
        <v>25</v>
      </c>
      <c r="AK7" s="21" t="s">
        <v>26</v>
      </c>
      <c r="AL7" s="20" t="s">
        <v>27</v>
      </c>
      <c r="AM7" s="20" t="s">
        <v>28</v>
      </c>
      <c r="AN7" s="22" t="s">
        <v>29</v>
      </c>
    </row>
    <row r="8" ht="13.9" customHeight="1" spans="1:40">
      <c r="A8" s="39">
        <v>1</v>
      </c>
      <c r="B8" s="320" t="s">
        <v>218</v>
      </c>
      <c r="C8" s="184" t="s">
        <v>219</v>
      </c>
      <c r="D8" s="41">
        <v>49</v>
      </c>
      <c r="E8" s="29" t="str">
        <f>IF(D8&gt;=75,"A",IF(D8&gt;=65,"B",IF(D8&gt;=50,"C",IF(D8&gt;=40,"S","W"))))</f>
        <v>S</v>
      </c>
      <c r="F8" s="49">
        <v>31</v>
      </c>
      <c r="G8" s="49" t="str">
        <f>IF(F8&gt;=75,"A",IF(F8&gt;=65,"B",IF(F8&gt;=50,"C",IF(F8&gt;=40,"S","W"))))</f>
        <v>W</v>
      </c>
      <c r="H8" s="41">
        <v>40</v>
      </c>
      <c r="I8" s="41" t="str">
        <f>IF(H8&gt;=75,"A",IF(H8&gt;=65,"B",IF(H8&gt;=50,"C",IF(H8&gt;=40,"S","W"))))</f>
        <v>S</v>
      </c>
      <c r="J8" s="49">
        <v>38</v>
      </c>
      <c r="K8" s="41" t="str">
        <f>IF(J8&gt;=75,"A",IF(J8&gt;=65,"B",IF(J8&gt;=50,"C",IF(J8&gt;=40,"S","W"))))</f>
        <v>W</v>
      </c>
      <c r="L8" s="41">
        <v>72</v>
      </c>
      <c r="M8" s="41" t="str">
        <f>IF(L8&gt;=75,"A",IF(L8&gt;=65,"B",IF(L8&gt;=50,"C",IF(L8&gt;=40,"S","W"))))</f>
        <v>B</v>
      </c>
      <c r="N8" s="41">
        <v>45</v>
      </c>
      <c r="O8" s="293" t="str">
        <f>IF(N8&gt;=75,"A",IF(N8&gt;=65,"B",IF(N8&gt;=50,"C",IF(N8&gt;=40,"S","W"))))</f>
        <v>S</v>
      </c>
      <c r="P8" s="43">
        <v>66</v>
      </c>
      <c r="Q8" s="43" t="str">
        <f>IF(P8&gt;=75,"A",IF(P8&gt;=65,"B",IF(P8&gt;=50,"C",IF(P8&gt;=40,"S","W"))))</f>
        <v>B</v>
      </c>
      <c r="R8" s="43">
        <v>56</v>
      </c>
      <c r="S8" s="43" t="str">
        <f>IF(R8&gt;=75,"A",IF(R8&gt;=65,"B",IF(R8&gt;=50,"C",IF(R8&gt;=40,"S","W"))))</f>
        <v>C</v>
      </c>
      <c r="T8" s="43">
        <v>22</v>
      </c>
      <c r="U8" s="43" t="str">
        <f>IF(T8&gt;=75,"A",IF(T8&gt;=65,"B",IF(T8&gt;=50,"C",IF(T8&gt;=40,"S","W"))))</f>
        <v>W</v>
      </c>
      <c r="V8" s="44">
        <v>54</v>
      </c>
      <c r="W8" s="44" t="str">
        <f t="shared" ref="W8:W36" si="0">IF(V8&gt;=75,"A",IF(V8&gt;=65,"B",IF(V8&gt;=50,"C",IF(V8&gt;=40,"S","W"))))</f>
        <v>C</v>
      </c>
      <c r="X8" s="44"/>
      <c r="Y8" s="44"/>
      <c r="Z8" s="44"/>
      <c r="AA8" s="44"/>
      <c r="AB8" s="99">
        <v>60</v>
      </c>
      <c r="AC8" s="99" t="str">
        <f>IF(AB8&gt;=75,"A",IF(AB8&gt;=65,"B",IF(AB8&gt;=50,"C",IF(AB8&gt;=40,"S","W"))))</f>
        <v>C</v>
      </c>
      <c r="AD8" s="294">
        <v>40</v>
      </c>
      <c r="AE8" s="99" t="str">
        <f t="shared" ref="AE8:AE41" si="1">IF(AD8&gt;=75,"A",IF(AD8&gt;=65,"B",IF(AD8&gt;=50,"C",IF(AD8&gt;=40,"S","W"))))</f>
        <v>S</v>
      </c>
      <c r="AF8" s="100">
        <f>SUM(D8,F8,H8,J8,L8,N8,P8,R8,T8,V8,X8,Z8,AB8,AD8)</f>
        <v>573</v>
      </c>
      <c r="AG8" s="101">
        <f>AVERAGE(D8,F8,H8,J8,L8,N8,P8,R8,T8,V8,X8,Z8,AB8,AD8)</f>
        <v>47.75</v>
      </c>
      <c r="AH8" s="100">
        <f>RANK(AF8,$AF$8:$AF$41,0)</f>
        <v>12</v>
      </c>
      <c r="AI8" s="36">
        <f>COUNTIF(D8:AE8,"A")</f>
        <v>0</v>
      </c>
      <c r="AJ8" s="36">
        <f t="shared" ref="AJ8:AJ41" si="2">COUNTIF(D8:AI8,"B")</f>
        <v>2</v>
      </c>
      <c r="AK8" s="36">
        <f t="shared" ref="AK8:AK41" si="3">COUNTIF(D8:AJ8,"C")</f>
        <v>3</v>
      </c>
      <c r="AL8" s="36">
        <f t="shared" ref="AL8:AL41" si="4">COUNTIF(E8:AK8,"S")</f>
        <v>4</v>
      </c>
      <c r="AM8" s="36">
        <f>COUNTIF(D8:AE8,"W")</f>
        <v>3</v>
      </c>
      <c r="AN8" s="37">
        <f>(COUNTIF(D8:AE8,"AB"))/2</f>
        <v>0</v>
      </c>
    </row>
    <row r="9" ht="13.9" customHeight="1" spans="1:40">
      <c r="A9" s="24">
        <v>2</v>
      </c>
      <c r="B9" s="320" t="s">
        <v>220</v>
      </c>
      <c r="C9" s="184" t="s">
        <v>219</v>
      </c>
      <c r="D9" s="41">
        <v>80</v>
      </c>
      <c r="E9" s="29" t="str">
        <f t="shared" ref="E9:E41" si="5">IF(D9&gt;=75,"A",IF(D9&gt;=65,"B",IF(D9&gt;=50,"C",IF(D9&gt;=40,"S","W"))))</f>
        <v>A</v>
      </c>
      <c r="F9" s="41">
        <v>90</v>
      </c>
      <c r="G9" s="49" t="str">
        <f t="shared" ref="G9:G41" si="6">IF(F9&gt;=75,"A",IF(F9&gt;=65,"B",IF(F9&gt;=50,"C",IF(F9&gt;=40,"S","W"))))</f>
        <v>A</v>
      </c>
      <c r="H9" s="41">
        <v>87</v>
      </c>
      <c r="I9" s="41" t="str">
        <f t="shared" ref="I9:I41" si="7">IF(H9&gt;=75,"A",IF(H9&gt;=65,"B",IF(H9&gt;=50,"C",IF(H9&gt;=40,"S","W"))))</f>
        <v>A</v>
      </c>
      <c r="J9" s="49">
        <v>88</v>
      </c>
      <c r="K9" s="41" t="str">
        <f t="shared" ref="K9:K41" si="8">IF(J9&gt;=75,"A",IF(J9&gt;=65,"B",IF(J9&gt;=50,"C",IF(J9&gt;=40,"S","W"))))</f>
        <v>A</v>
      </c>
      <c r="L9" s="49">
        <v>85</v>
      </c>
      <c r="M9" s="41" t="str">
        <f t="shared" ref="M9:M41" si="9">IF(L9&gt;=75,"A",IF(L9&gt;=65,"B",IF(L9&gt;=50,"C",IF(L9&gt;=40,"S","W"))))</f>
        <v>A</v>
      </c>
      <c r="N9" s="49">
        <v>82</v>
      </c>
      <c r="O9" s="293" t="str">
        <f t="shared" ref="O9:O41" si="10">IF(N9&gt;=75,"A",IF(N9&gt;=65,"B",IF(N9&gt;=50,"C",IF(N9&gt;=40,"S","W"))))</f>
        <v>A</v>
      </c>
      <c r="P9" s="43">
        <v>93</v>
      </c>
      <c r="Q9" s="43" t="str">
        <f t="shared" ref="Q9:Q41" si="11">IF(P9&gt;=75,"A",IF(P9&gt;=65,"B",IF(P9&gt;=50,"C",IF(P9&gt;=40,"S","W"))))</f>
        <v>A</v>
      </c>
      <c r="R9" s="43">
        <v>96</v>
      </c>
      <c r="S9" s="43" t="str">
        <f t="shared" ref="S9:S41" si="12">IF(R9&gt;=75,"A",IF(R9&gt;=65,"B",IF(R9&gt;=50,"C",IF(R9&gt;=40,"S","W"))))</f>
        <v>A</v>
      </c>
      <c r="T9" s="43">
        <v>62</v>
      </c>
      <c r="U9" s="43" t="str">
        <f t="shared" ref="U9:U41" si="13">IF(T9&gt;=75,"A",IF(T9&gt;=65,"B",IF(T9&gt;=50,"C",IF(T9&gt;=40,"S","W"))))</f>
        <v>C</v>
      </c>
      <c r="V9" s="44">
        <v>92</v>
      </c>
      <c r="W9" s="44" t="str">
        <f t="shared" si="0"/>
        <v>A</v>
      </c>
      <c r="X9" s="44"/>
      <c r="Y9" s="44"/>
      <c r="Z9" s="44"/>
      <c r="AA9" s="44"/>
      <c r="AB9" s="99">
        <v>82</v>
      </c>
      <c r="AC9" s="99" t="str">
        <f t="shared" ref="AC9:AC41" si="14">IF(AB9&gt;=75,"A",IF(AB9&gt;=65,"B",IF(AB9&gt;=50,"C",IF(AB9&gt;=40,"S","W"))))</f>
        <v>A</v>
      </c>
      <c r="AD9" s="99">
        <v>93</v>
      </c>
      <c r="AE9" s="99" t="str">
        <f t="shared" si="1"/>
        <v>A</v>
      </c>
      <c r="AF9" s="100">
        <f t="shared" ref="AF9:AF41" si="15">SUM(D9,F9,H9,J9,L9,N9,P9,R9,T9,V9,X9,Z9,AB9,AD9)</f>
        <v>1030</v>
      </c>
      <c r="AG9" s="101">
        <f t="shared" ref="AG9:AG41" si="16">AVERAGE(D9,F9,H9,J9,L9,N9,P9,R9,T9,V9,X9,Z9,AB9,AD9)</f>
        <v>85.8333333333333</v>
      </c>
      <c r="AH9" s="100">
        <f t="shared" ref="AH9:AH41" si="17">RANK(AF9,$AF$8:$AF$41,0)</f>
        <v>1</v>
      </c>
      <c r="AI9" s="36">
        <f t="shared" ref="AI9:AI41" si="18">COUNTIF(D9:AE9,"A")</f>
        <v>11</v>
      </c>
      <c r="AJ9" s="36">
        <f t="shared" si="2"/>
        <v>0</v>
      </c>
      <c r="AK9" s="36">
        <f t="shared" si="3"/>
        <v>1</v>
      </c>
      <c r="AL9" s="36">
        <f t="shared" si="4"/>
        <v>0</v>
      </c>
      <c r="AM9" s="36">
        <f t="shared" ref="AM9:AM41" si="19">COUNTIF(D9:AE9,"W")</f>
        <v>0</v>
      </c>
      <c r="AN9" s="37">
        <f t="shared" ref="AN9:AN41" si="20">(COUNTIF(D9:AE9,"AB"))/2</f>
        <v>0</v>
      </c>
    </row>
    <row r="10" ht="13.9" customHeight="1" spans="1:40">
      <c r="A10" s="39">
        <v>3</v>
      </c>
      <c r="B10" s="320" t="s">
        <v>221</v>
      </c>
      <c r="C10" s="184" t="s">
        <v>219</v>
      </c>
      <c r="D10" s="49">
        <v>58</v>
      </c>
      <c r="E10" s="29" t="str">
        <f t="shared" si="5"/>
        <v>C</v>
      </c>
      <c r="F10" s="41">
        <v>35</v>
      </c>
      <c r="G10" s="49" t="str">
        <f t="shared" si="6"/>
        <v>W</v>
      </c>
      <c r="H10" s="41">
        <v>52</v>
      </c>
      <c r="I10" s="41" t="str">
        <f t="shared" si="7"/>
        <v>C</v>
      </c>
      <c r="J10" s="49">
        <v>54</v>
      </c>
      <c r="K10" s="41" t="str">
        <f t="shared" si="8"/>
        <v>C</v>
      </c>
      <c r="L10" s="41">
        <v>62</v>
      </c>
      <c r="M10" s="41" t="str">
        <f t="shared" si="9"/>
        <v>C</v>
      </c>
      <c r="N10" s="41">
        <v>46</v>
      </c>
      <c r="O10" s="293" t="str">
        <f t="shared" si="10"/>
        <v>S</v>
      </c>
      <c r="P10" s="43">
        <v>65</v>
      </c>
      <c r="Q10" s="43" t="str">
        <f t="shared" si="11"/>
        <v>B</v>
      </c>
      <c r="R10" s="43">
        <v>45</v>
      </c>
      <c r="S10" s="43" t="str">
        <f t="shared" si="12"/>
        <v>S</v>
      </c>
      <c r="T10" s="43">
        <v>25</v>
      </c>
      <c r="U10" s="43" t="str">
        <f t="shared" si="13"/>
        <v>W</v>
      </c>
      <c r="V10" s="44">
        <v>36</v>
      </c>
      <c r="W10" s="44" t="str">
        <f t="shared" si="0"/>
        <v>W</v>
      </c>
      <c r="X10" s="44"/>
      <c r="Y10" s="44"/>
      <c r="Z10" s="44"/>
      <c r="AA10" s="44"/>
      <c r="AB10" s="99">
        <v>49</v>
      </c>
      <c r="AC10" s="99" t="str">
        <f t="shared" si="14"/>
        <v>S</v>
      </c>
      <c r="AD10" s="99">
        <v>35</v>
      </c>
      <c r="AE10" s="99" t="str">
        <f t="shared" si="1"/>
        <v>W</v>
      </c>
      <c r="AF10" s="100">
        <f t="shared" si="15"/>
        <v>562</v>
      </c>
      <c r="AG10" s="101">
        <f t="shared" si="16"/>
        <v>46.8333333333333</v>
      </c>
      <c r="AH10" s="100">
        <f t="shared" si="17"/>
        <v>13</v>
      </c>
      <c r="AI10" s="36">
        <f t="shared" si="18"/>
        <v>0</v>
      </c>
      <c r="AJ10" s="36">
        <f t="shared" si="2"/>
        <v>1</v>
      </c>
      <c r="AK10" s="36">
        <f t="shared" si="3"/>
        <v>4</v>
      </c>
      <c r="AL10" s="36">
        <f t="shared" si="4"/>
        <v>3</v>
      </c>
      <c r="AM10" s="36">
        <f t="shared" si="19"/>
        <v>4</v>
      </c>
      <c r="AN10" s="37">
        <f t="shared" si="20"/>
        <v>0</v>
      </c>
    </row>
    <row r="11" ht="13.9" customHeight="1" spans="1:40">
      <c r="A11" s="24">
        <v>4</v>
      </c>
      <c r="B11" s="320" t="s">
        <v>222</v>
      </c>
      <c r="C11" s="184" t="s">
        <v>219</v>
      </c>
      <c r="D11" s="41">
        <v>18</v>
      </c>
      <c r="E11" s="29" t="str">
        <f t="shared" si="5"/>
        <v>W</v>
      </c>
      <c r="F11" s="41">
        <v>15</v>
      </c>
      <c r="G11" s="49" t="str">
        <f t="shared" si="6"/>
        <v>W</v>
      </c>
      <c r="H11" s="41">
        <v>19</v>
      </c>
      <c r="I11" s="41" t="str">
        <f t="shared" si="7"/>
        <v>W</v>
      </c>
      <c r="J11" s="49">
        <v>31</v>
      </c>
      <c r="K11" s="41" t="str">
        <f t="shared" si="8"/>
        <v>W</v>
      </c>
      <c r="L11" s="49">
        <v>38</v>
      </c>
      <c r="M11" s="41" t="str">
        <f t="shared" si="9"/>
        <v>W</v>
      </c>
      <c r="N11" s="41">
        <v>28</v>
      </c>
      <c r="O11" s="293" t="str">
        <f t="shared" si="10"/>
        <v>W</v>
      </c>
      <c r="P11" s="43">
        <v>35</v>
      </c>
      <c r="Q11" s="43" t="str">
        <f t="shared" si="11"/>
        <v>W</v>
      </c>
      <c r="R11" s="43">
        <v>28</v>
      </c>
      <c r="S11" s="43" t="str">
        <f t="shared" si="12"/>
        <v>W</v>
      </c>
      <c r="T11" s="43">
        <v>18</v>
      </c>
      <c r="U11" s="43" t="str">
        <f t="shared" si="13"/>
        <v>W</v>
      </c>
      <c r="V11" s="44"/>
      <c r="W11" s="44"/>
      <c r="X11" s="44"/>
      <c r="Y11" s="44"/>
      <c r="Z11" s="44">
        <v>34</v>
      </c>
      <c r="AA11" s="44" t="str">
        <f>IF(Z11&gt;=75,"A",IF(Z11&gt;=65,"B",IF(Z11&gt;=50,"C",IF(Z11&gt;=40,"S","W"))))</f>
        <v>W</v>
      </c>
      <c r="AB11" s="99">
        <v>50</v>
      </c>
      <c r="AC11" s="99" t="str">
        <f t="shared" si="14"/>
        <v>C</v>
      </c>
      <c r="AD11" s="99">
        <v>20</v>
      </c>
      <c r="AE11" s="99" t="str">
        <f t="shared" si="1"/>
        <v>W</v>
      </c>
      <c r="AF11" s="100">
        <f t="shared" si="15"/>
        <v>334</v>
      </c>
      <c r="AG11" s="101">
        <f t="shared" si="16"/>
        <v>27.8333333333333</v>
      </c>
      <c r="AH11" s="100">
        <f t="shared" si="17"/>
        <v>21</v>
      </c>
      <c r="AI11" s="36">
        <f t="shared" si="18"/>
        <v>0</v>
      </c>
      <c r="AJ11" s="36">
        <f t="shared" si="2"/>
        <v>0</v>
      </c>
      <c r="AK11" s="36">
        <f t="shared" si="3"/>
        <v>1</v>
      </c>
      <c r="AL11" s="36">
        <f t="shared" si="4"/>
        <v>0</v>
      </c>
      <c r="AM11" s="36">
        <f t="shared" si="19"/>
        <v>11</v>
      </c>
      <c r="AN11" s="37">
        <f t="shared" si="20"/>
        <v>0</v>
      </c>
    </row>
    <row r="12" ht="13.9" customHeight="1" spans="1:40">
      <c r="A12" s="39">
        <v>5</v>
      </c>
      <c r="B12" s="320" t="s">
        <v>223</v>
      </c>
      <c r="C12" s="184" t="s">
        <v>219</v>
      </c>
      <c r="D12" s="41">
        <v>41</v>
      </c>
      <c r="E12" s="29" t="str">
        <f t="shared" si="5"/>
        <v>S</v>
      </c>
      <c r="F12" s="41">
        <v>50</v>
      </c>
      <c r="G12" s="49" t="str">
        <f t="shared" si="6"/>
        <v>C</v>
      </c>
      <c r="H12" s="41">
        <v>40</v>
      </c>
      <c r="I12" s="41" t="str">
        <f t="shared" si="7"/>
        <v>S</v>
      </c>
      <c r="J12" s="49">
        <v>54</v>
      </c>
      <c r="K12" s="41" t="str">
        <f t="shared" si="8"/>
        <v>C</v>
      </c>
      <c r="L12" s="41">
        <v>62</v>
      </c>
      <c r="M12" s="41" t="str">
        <f t="shared" si="9"/>
        <v>C</v>
      </c>
      <c r="N12" s="49">
        <v>30</v>
      </c>
      <c r="O12" s="293" t="str">
        <f t="shared" si="10"/>
        <v>W</v>
      </c>
      <c r="P12" s="43">
        <v>62</v>
      </c>
      <c r="Q12" s="43" t="str">
        <f t="shared" si="11"/>
        <v>C</v>
      </c>
      <c r="R12" s="43">
        <v>53</v>
      </c>
      <c r="S12" s="43" t="str">
        <f t="shared" si="12"/>
        <v>C</v>
      </c>
      <c r="T12" s="43">
        <v>28</v>
      </c>
      <c r="U12" s="43" t="str">
        <f t="shared" si="13"/>
        <v>W</v>
      </c>
      <c r="V12" s="44">
        <v>68</v>
      </c>
      <c r="W12" s="44" t="str">
        <f t="shared" si="0"/>
        <v>B</v>
      </c>
      <c r="X12" s="44"/>
      <c r="Y12" s="44"/>
      <c r="Z12" s="44"/>
      <c r="AA12" s="44"/>
      <c r="AB12" s="99">
        <v>67</v>
      </c>
      <c r="AC12" s="99" t="str">
        <f t="shared" si="14"/>
        <v>B</v>
      </c>
      <c r="AD12" s="99">
        <v>35</v>
      </c>
      <c r="AE12" s="99" t="str">
        <f t="shared" si="1"/>
        <v>W</v>
      </c>
      <c r="AF12" s="100">
        <f t="shared" si="15"/>
        <v>590</v>
      </c>
      <c r="AG12" s="101">
        <f t="shared" si="16"/>
        <v>49.1666666666667</v>
      </c>
      <c r="AH12" s="100">
        <f t="shared" si="17"/>
        <v>10</v>
      </c>
      <c r="AI12" s="36">
        <f t="shared" si="18"/>
        <v>0</v>
      </c>
      <c r="AJ12" s="36">
        <f t="shared" si="2"/>
        <v>2</v>
      </c>
      <c r="AK12" s="36">
        <f t="shared" si="3"/>
        <v>5</v>
      </c>
      <c r="AL12" s="36">
        <f t="shared" si="4"/>
        <v>2</v>
      </c>
      <c r="AM12" s="36">
        <f t="shared" si="19"/>
        <v>3</v>
      </c>
      <c r="AN12" s="37">
        <f t="shared" si="20"/>
        <v>0</v>
      </c>
    </row>
    <row r="13" ht="13.9" customHeight="1" spans="1:40">
      <c r="A13" s="24">
        <v>6</v>
      </c>
      <c r="B13" s="320" t="s">
        <v>224</v>
      </c>
      <c r="C13" s="184" t="s">
        <v>219</v>
      </c>
      <c r="D13" s="41">
        <v>33</v>
      </c>
      <c r="E13" s="29" t="str">
        <f t="shared" si="5"/>
        <v>W</v>
      </c>
      <c r="F13" s="41">
        <v>26</v>
      </c>
      <c r="G13" s="49" t="str">
        <f t="shared" si="6"/>
        <v>W</v>
      </c>
      <c r="H13" s="41">
        <v>38</v>
      </c>
      <c r="I13" s="41" t="str">
        <f t="shared" si="7"/>
        <v>W</v>
      </c>
      <c r="J13" s="49">
        <v>24</v>
      </c>
      <c r="K13" s="41" t="str">
        <f t="shared" si="8"/>
        <v>W</v>
      </c>
      <c r="L13" s="41">
        <v>36</v>
      </c>
      <c r="M13" s="41" t="str">
        <f t="shared" si="9"/>
        <v>W</v>
      </c>
      <c r="N13" s="41">
        <v>31</v>
      </c>
      <c r="O13" s="293" t="str">
        <f t="shared" si="10"/>
        <v>W</v>
      </c>
      <c r="P13" s="43">
        <v>51</v>
      </c>
      <c r="Q13" s="43" t="str">
        <f t="shared" si="11"/>
        <v>C</v>
      </c>
      <c r="R13" s="43">
        <v>51</v>
      </c>
      <c r="S13" s="43" t="str">
        <f t="shared" si="12"/>
        <v>C</v>
      </c>
      <c r="T13" s="43">
        <v>24</v>
      </c>
      <c r="U13" s="43" t="str">
        <f t="shared" si="13"/>
        <v>W</v>
      </c>
      <c r="V13" s="86" t="s">
        <v>29</v>
      </c>
      <c r="W13" s="86" t="s">
        <v>29</v>
      </c>
      <c r="X13" s="44"/>
      <c r="Y13" s="44"/>
      <c r="Z13" s="44"/>
      <c r="AA13" s="44"/>
      <c r="AB13" s="99">
        <v>62</v>
      </c>
      <c r="AC13" s="99" t="str">
        <f t="shared" si="14"/>
        <v>C</v>
      </c>
      <c r="AD13" s="99">
        <v>80</v>
      </c>
      <c r="AE13" s="99" t="str">
        <f t="shared" si="1"/>
        <v>A</v>
      </c>
      <c r="AF13" s="100">
        <f t="shared" si="15"/>
        <v>456</v>
      </c>
      <c r="AG13" s="101">
        <f t="shared" si="16"/>
        <v>41.4545454545455</v>
      </c>
      <c r="AH13" s="100">
        <f t="shared" si="17"/>
        <v>18</v>
      </c>
      <c r="AI13" s="36">
        <f t="shared" si="18"/>
        <v>1</v>
      </c>
      <c r="AJ13" s="36">
        <f t="shared" si="2"/>
        <v>0</v>
      </c>
      <c r="AK13" s="36">
        <f t="shared" si="3"/>
        <v>3</v>
      </c>
      <c r="AL13" s="36">
        <f t="shared" si="4"/>
        <v>0</v>
      </c>
      <c r="AM13" s="36">
        <f t="shared" si="19"/>
        <v>7</v>
      </c>
      <c r="AN13" s="37">
        <f t="shared" si="20"/>
        <v>1</v>
      </c>
    </row>
    <row r="14" ht="13.9" customHeight="1" spans="1:40">
      <c r="A14" s="39">
        <v>7</v>
      </c>
      <c r="B14" s="320" t="s">
        <v>225</v>
      </c>
      <c r="C14" s="184" t="s">
        <v>219</v>
      </c>
      <c r="D14" s="41">
        <v>30</v>
      </c>
      <c r="E14" s="29" t="str">
        <f t="shared" si="5"/>
        <v>W</v>
      </c>
      <c r="F14" s="41">
        <v>7</v>
      </c>
      <c r="G14" s="49" t="str">
        <f t="shared" si="6"/>
        <v>W</v>
      </c>
      <c r="H14" s="41">
        <v>24</v>
      </c>
      <c r="I14" s="41" t="str">
        <f t="shared" si="7"/>
        <v>W</v>
      </c>
      <c r="J14" s="49">
        <v>26</v>
      </c>
      <c r="K14" s="41" t="str">
        <f t="shared" si="8"/>
        <v>W</v>
      </c>
      <c r="L14" s="41">
        <v>44</v>
      </c>
      <c r="M14" s="41" t="str">
        <f t="shared" si="9"/>
        <v>S</v>
      </c>
      <c r="N14" s="49">
        <v>26</v>
      </c>
      <c r="O14" s="293" t="str">
        <f t="shared" si="10"/>
        <v>W</v>
      </c>
      <c r="P14" s="43">
        <v>45</v>
      </c>
      <c r="Q14" s="43" t="str">
        <f t="shared" si="11"/>
        <v>S</v>
      </c>
      <c r="R14" s="43">
        <v>47</v>
      </c>
      <c r="S14" s="43" t="str">
        <f t="shared" si="12"/>
        <v>S</v>
      </c>
      <c r="T14" s="43">
        <v>14</v>
      </c>
      <c r="U14" s="43" t="str">
        <f t="shared" si="13"/>
        <v>W</v>
      </c>
      <c r="V14" s="44"/>
      <c r="W14" s="44"/>
      <c r="X14" s="44">
        <v>65</v>
      </c>
      <c r="Y14" s="44" t="str">
        <f>IF(X14&gt;=75,"A",IF(X14&gt;=65,"B",IF(X14&gt;=50,"C",IF(X14&gt;=40,"S","W"))))</f>
        <v>B</v>
      </c>
      <c r="Z14" s="44"/>
      <c r="AA14" s="44"/>
      <c r="AB14" s="99">
        <v>45</v>
      </c>
      <c r="AC14" s="99" t="str">
        <f t="shared" si="14"/>
        <v>S</v>
      </c>
      <c r="AD14" s="99">
        <v>70</v>
      </c>
      <c r="AE14" s="99" t="str">
        <f t="shared" si="1"/>
        <v>B</v>
      </c>
      <c r="AF14" s="100">
        <f t="shared" si="15"/>
        <v>443</v>
      </c>
      <c r="AG14" s="101">
        <f t="shared" si="16"/>
        <v>36.9166666666667</v>
      </c>
      <c r="AH14" s="100">
        <f t="shared" si="17"/>
        <v>19</v>
      </c>
      <c r="AI14" s="36">
        <f t="shared" si="18"/>
        <v>0</v>
      </c>
      <c r="AJ14" s="36">
        <f t="shared" si="2"/>
        <v>2</v>
      </c>
      <c r="AK14" s="36">
        <f t="shared" si="3"/>
        <v>0</v>
      </c>
      <c r="AL14" s="36">
        <f t="shared" si="4"/>
        <v>4</v>
      </c>
      <c r="AM14" s="36">
        <f t="shared" si="19"/>
        <v>6</v>
      </c>
      <c r="AN14" s="37">
        <f t="shared" si="20"/>
        <v>0</v>
      </c>
    </row>
    <row r="15" ht="13.9" customHeight="1" spans="1:40">
      <c r="A15" s="24">
        <v>8</v>
      </c>
      <c r="B15" s="320" t="s">
        <v>226</v>
      </c>
      <c r="C15" s="184" t="s">
        <v>219</v>
      </c>
      <c r="D15" s="41">
        <v>12</v>
      </c>
      <c r="E15" s="29" t="str">
        <f t="shared" si="5"/>
        <v>W</v>
      </c>
      <c r="F15" s="41">
        <v>7</v>
      </c>
      <c r="G15" s="49" t="str">
        <f t="shared" si="6"/>
        <v>W</v>
      </c>
      <c r="H15" s="41">
        <v>24</v>
      </c>
      <c r="I15" s="41" t="str">
        <f t="shared" si="7"/>
        <v>W</v>
      </c>
      <c r="J15" s="49">
        <v>25</v>
      </c>
      <c r="K15" s="41" t="str">
        <f t="shared" si="8"/>
        <v>W</v>
      </c>
      <c r="L15" s="41">
        <v>24</v>
      </c>
      <c r="M15" s="41" t="str">
        <f t="shared" si="9"/>
        <v>W</v>
      </c>
      <c r="N15" s="41">
        <v>24</v>
      </c>
      <c r="O15" s="293" t="str">
        <f t="shared" si="10"/>
        <v>W</v>
      </c>
      <c r="P15" s="43">
        <v>18</v>
      </c>
      <c r="Q15" s="43" t="str">
        <f t="shared" si="11"/>
        <v>W</v>
      </c>
      <c r="R15" s="43">
        <v>18</v>
      </c>
      <c r="S15" s="43" t="str">
        <f t="shared" si="12"/>
        <v>W</v>
      </c>
      <c r="T15" s="43">
        <v>16</v>
      </c>
      <c r="U15" s="43" t="str">
        <f t="shared" si="13"/>
        <v>W</v>
      </c>
      <c r="V15" s="86" t="s">
        <v>29</v>
      </c>
      <c r="W15" s="86" t="s">
        <v>29</v>
      </c>
      <c r="X15" s="44"/>
      <c r="Y15" s="44"/>
      <c r="Z15" s="44"/>
      <c r="AA15" s="44"/>
      <c r="AB15" s="99">
        <v>32</v>
      </c>
      <c r="AC15" s="99" t="str">
        <f t="shared" si="14"/>
        <v>W</v>
      </c>
      <c r="AD15" s="99">
        <v>42</v>
      </c>
      <c r="AE15" s="99" t="str">
        <f t="shared" si="1"/>
        <v>S</v>
      </c>
      <c r="AF15" s="100">
        <f t="shared" si="15"/>
        <v>242</v>
      </c>
      <c r="AG15" s="101">
        <f t="shared" si="16"/>
        <v>22</v>
      </c>
      <c r="AH15" s="100">
        <f t="shared" si="17"/>
        <v>27</v>
      </c>
      <c r="AI15" s="36">
        <f t="shared" si="18"/>
        <v>0</v>
      </c>
      <c r="AJ15" s="36">
        <f t="shared" si="2"/>
        <v>0</v>
      </c>
      <c r="AK15" s="36">
        <f t="shared" si="3"/>
        <v>0</v>
      </c>
      <c r="AL15" s="36">
        <f t="shared" si="4"/>
        <v>1</v>
      </c>
      <c r="AM15" s="36">
        <f t="shared" si="19"/>
        <v>10</v>
      </c>
      <c r="AN15" s="37">
        <f t="shared" si="20"/>
        <v>1</v>
      </c>
    </row>
    <row r="16" ht="13.9" customHeight="1" spans="1:40">
      <c r="A16" s="39">
        <v>9</v>
      </c>
      <c r="B16" s="320" t="s">
        <v>227</v>
      </c>
      <c r="C16" s="184" t="s">
        <v>219</v>
      </c>
      <c r="D16" s="41">
        <v>8</v>
      </c>
      <c r="E16" s="29" t="str">
        <f t="shared" si="5"/>
        <v>W</v>
      </c>
      <c r="F16" s="41">
        <v>5</v>
      </c>
      <c r="G16" s="49" t="str">
        <f t="shared" si="6"/>
        <v>W</v>
      </c>
      <c r="H16" s="41">
        <v>20</v>
      </c>
      <c r="I16" s="41" t="str">
        <f t="shared" si="7"/>
        <v>W</v>
      </c>
      <c r="J16" s="49">
        <v>24</v>
      </c>
      <c r="K16" s="41" t="str">
        <f t="shared" si="8"/>
        <v>W</v>
      </c>
      <c r="L16" s="46" t="s">
        <v>29</v>
      </c>
      <c r="M16" s="46" t="s">
        <v>29</v>
      </c>
      <c r="N16" s="41">
        <v>18</v>
      </c>
      <c r="O16" s="293" t="str">
        <f t="shared" si="10"/>
        <v>W</v>
      </c>
      <c r="P16" s="43">
        <v>12</v>
      </c>
      <c r="Q16" s="43" t="str">
        <f t="shared" si="11"/>
        <v>W</v>
      </c>
      <c r="R16" s="43">
        <v>20</v>
      </c>
      <c r="S16" s="43" t="str">
        <f t="shared" si="12"/>
        <v>W</v>
      </c>
      <c r="T16" s="43">
        <v>16</v>
      </c>
      <c r="U16" s="43" t="str">
        <f t="shared" si="13"/>
        <v>W</v>
      </c>
      <c r="V16" s="86" t="s">
        <v>29</v>
      </c>
      <c r="W16" s="86" t="s">
        <v>29</v>
      </c>
      <c r="X16" s="44"/>
      <c r="Y16" s="44"/>
      <c r="Z16" s="44"/>
      <c r="AA16" s="44"/>
      <c r="AB16" s="99">
        <v>29</v>
      </c>
      <c r="AC16" s="99" t="str">
        <f t="shared" si="14"/>
        <v>W</v>
      </c>
      <c r="AD16" s="99">
        <v>30</v>
      </c>
      <c r="AE16" s="99" t="str">
        <f t="shared" si="1"/>
        <v>W</v>
      </c>
      <c r="AF16" s="100">
        <f t="shared" si="15"/>
        <v>182</v>
      </c>
      <c r="AG16" s="101">
        <f t="shared" si="16"/>
        <v>18.2</v>
      </c>
      <c r="AH16" s="100">
        <f t="shared" si="17"/>
        <v>30</v>
      </c>
      <c r="AI16" s="36">
        <f t="shared" si="18"/>
        <v>0</v>
      </c>
      <c r="AJ16" s="36">
        <f t="shared" si="2"/>
        <v>0</v>
      </c>
      <c r="AK16" s="36">
        <f t="shared" si="3"/>
        <v>0</v>
      </c>
      <c r="AL16" s="36">
        <f t="shared" si="4"/>
        <v>0</v>
      </c>
      <c r="AM16" s="36">
        <f t="shared" si="19"/>
        <v>10</v>
      </c>
      <c r="AN16" s="37">
        <f t="shared" si="20"/>
        <v>2</v>
      </c>
    </row>
    <row r="17" ht="13.9" customHeight="1" spans="1:40">
      <c r="A17" s="24">
        <v>10</v>
      </c>
      <c r="B17" s="320" t="s">
        <v>228</v>
      </c>
      <c r="C17" s="184" t="s">
        <v>219</v>
      </c>
      <c r="D17" s="46" t="s">
        <v>29</v>
      </c>
      <c r="E17" s="46" t="s">
        <v>29</v>
      </c>
      <c r="F17" s="49">
        <v>7</v>
      </c>
      <c r="G17" s="49" t="str">
        <f t="shared" si="6"/>
        <v>W</v>
      </c>
      <c r="H17" s="41">
        <v>10</v>
      </c>
      <c r="I17" s="41" t="str">
        <f t="shared" si="7"/>
        <v>W</v>
      </c>
      <c r="J17" s="49">
        <v>20</v>
      </c>
      <c r="K17" s="41" t="str">
        <f t="shared" si="8"/>
        <v>W</v>
      </c>
      <c r="L17" s="41">
        <v>23</v>
      </c>
      <c r="M17" s="41" t="str">
        <f t="shared" si="9"/>
        <v>W</v>
      </c>
      <c r="N17" s="42" t="s">
        <v>29</v>
      </c>
      <c r="O17" s="42" t="s">
        <v>29</v>
      </c>
      <c r="P17" s="42" t="s">
        <v>29</v>
      </c>
      <c r="Q17" s="42" t="s">
        <v>29</v>
      </c>
      <c r="R17" s="43">
        <v>12</v>
      </c>
      <c r="S17" s="43" t="str">
        <f t="shared" si="12"/>
        <v>W</v>
      </c>
      <c r="T17" s="43">
        <v>12</v>
      </c>
      <c r="U17" s="43" t="str">
        <f t="shared" si="13"/>
        <v>W</v>
      </c>
      <c r="V17" s="86" t="s">
        <v>29</v>
      </c>
      <c r="W17" s="86" t="s">
        <v>29</v>
      </c>
      <c r="X17" s="44"/>
      <c r="Y17" s="44"/>
      <c r="Z17" s="44"/>
      <c r="AA17" s="44"/>
      <c r="AB17" s="99">
        <v>25</v>
      </c>
      <c r="AC17" s="99" t="str">
        <f t="shared" si="14"/>
        <v>W</v>
      </c>
      <c r="AD17" s="99">
        <v>50</v>
      </c>
      <c r="AE17" s="99" t="str">
        <f t="shared" si="1"/>
        <v>C</v>
      </c>
      <c r="AF17" s="100">
        <f t="shared" si="15"/>
        <v>159</v>
      </c>
      <c r="AG17" s="101">
        <f t="shared" si="16"/>
        <v>19.875</v>
      </c>
      <c r="AH17" s="100">
        <f t="shared" si="17"/>
        <v>31</v>
      </c>
      <c r="AI17" s="36">
        <f t="shared" si="18"/>
        <v>0</v>
      </c>
      <c r="AJ17" s="36">
        <f t="shared" si="2"/>
        <v>0</v>
      </c>
      <c r="AK17" s="36">
        <f t="shared" si="3"/>
        <v>1</v>
      </c>
      <c r="AL17" s="36">
        <f t="shared" si="4"/>
        <v>0</v>
      </c>
      <c r="AM17" s="36">
        <f t="shared" si="19"/>
        <v>7</v>
      </c>
      <c r="AN17" s="37">
        <f t="shared" si="20"/>
        <v>4</v>
      </c>
    </row>
    <row r="18" ht="13.9" customHeight="1" spans="1:40">
      <c r="A18" s="39">
        <v>11</v>
      </c>
      <c r="B18" s="320" t="s">
        <v>229</v>
      </c>
      <c r="C18" s="184" t="s">
        <v>219</v>
      </c>
      <c r="D18" s="46" t="s">
        <v>29</v>
      </c>
      <c r="E18" s="46" t="s">
        <v>29</v>
      </c>
      <c r="F18" s="49">
        <v>3</v>
      </c>
      <c r="G18" s="49" t="str">
        <f t="shared" si="6"/>
        <v>W</v>
      </c>
      <c r="H18" s="41">
        <v>20</v>
      </c>
      <c r="I18" s="41" t="str">
        <f t="shared" si="7"/>
        <v>W</v>
      </c>
      <c r="J18" s="49">
        <v>26</v>
      </c>
      <c r="K18" s="41" t="str">
        <f t="shared" si="8"/>
        <v>W</v>
      </c>
      <c r="L18" s="41">
        <v>24</v>
      </c>
      <c r="M18" s="41" t="str">
        <f t="shared" si="9"/>
        <v>W</v>
      </c>
      <c r="N18" s="41">
        <v>7</v>
      </c>
      <c r="O18" s="293" t="str">
        <f t="shared" si="10"/>
        <v>W</v>
      </c>
      <c r="P18" s="42" t="s">
        <v>29</v>
      </c>
      <c r="Q18" s="42" t="s">
        <v>29</v>
      </c>
      <c r="R18" s="43">
        <v>23</v>
      </c>
      <c r="S18" s="43" t="str">
        <f t="shared" si="12"/>
        <v>W</v>
      </c>
      <c r="T18" s="43">
        <v>16</v>
      </c>
      <c r="U18" s="43" t="str">
        <f t="shared" si="13"/>
        <v>W</v>
      </c>
      <c r="V18" s="86" t="s">
        <v>29</v>
      </c>
      <c r="W18" s="86" t="s">
        <v>29</v>
      </c>
      <c r="X18" s="44"/>
      <c r="Y18" s="44"/>
      <c r="Z18" s="44"/>
      <c r="AA18" s="44"/>
      <c r="AB18" s="99">
        <v>35</v>
      </c>
      <c r="AC18" s="99" t="str">
        <f t="shared" si="14"/>
        <v>W</v>
      </c>
      <c r="AD18" s="99">
        <v>50</v>
      </c>
      <c r="AE18" s="99" t="str">
        <f t="shared" si="1"/>
        <v>C</v>
      </c>
      <c r="AF18" s="100">
        <f t="shared" si="15"/>
        <v>204</v>
      </c>
      <c r="AG18" s="101">
        <f t="shared" si="16"/>
        <v>22.6666666666667</v>
      </c>
      <c r="AH18" s="100">
        <f t="shared" si="17"/>
        <v>29</v>
      </c>
      <c r="AI18" s="36">
        <f t="shared" si="18"/>
        <v>0</v>
      </c>
      <c r="AJ18" s="36">
        <f t="shared" si="2"/>
        <v>0</v>
      </c>
      <c r="AK18" s="36">
        <f t="shared" si="3"/>
        <v>1</v>
      </c>
      <c r="AL18" s="36">
        <f t="shared" si="4"/>
        <v>0</v>
      </c>
      <c r="AM18" s="36">
        <f t="shared" si="19"/>
        <v>8</v>
      </c>
      <c r="AN18" s="37">
        <f t="shared" si="20"/>
        <v>3</v>
      </c>
    </row>
    <row r="19" ht="13.9" customHeight="1" spans="1:40">
      <c r="A19" s="24">
        <v>12</v>
      </c>
      <c r="B19" s="320" t="s">
        <v>230</v>
      </c>
      <c r="C19" s="184" t="s">
        <v>219</v>
      </c>
      <c r="D19" s="41">
        <v>19</v>
      </c>
      <c r="E19" s="29" t="str">
        <f t="shared" si="5"/>
        <v>W</v>
      </c>
      <c r="F19" s="41">
        <v>9</v>
      </c>
      <c r="G19" s="49" t="str">
        <f t="shared" si="6"/>
        <v>W</v>
      </c>
      <c r="H19" s="41">
        <v>16</v>
      </c>
      <c r="I19" s="41" t="str">
        <f t="shared" si="7"/>
        <v>W</v>
      </c>
      <c r="J19" s="49">
        <v>12</v>
      </c>
      <c r="K19" s="41" t="str">
        <f t="shared" si="8"/>
        <v>W</v>
      </c>
      <c r="L19" s="46" t="s">
        <v>29</v>
      </c>
      <c r="M19" s="46" t="s">
        <v>29</v>
      </c>
      <c r="N19" s="41">
        <v>22</v>
      </c>
      <c r="O19" s="293" t="str">
        <f t="shared" si="10"/>
        <v>W</v>
      </c>
      <c r="P19" s="43">
        <v>64</v>
      </c>
      <c r="Q19" s="43" t="str">
        <f t="shared" si="11"/>
        <v>C</v>
      </c>
      <c r="R19" s="43">
        <v>41</v>
      </c>
      <c r="S19" s="43" t="str">
        <f t="shared" si="12"/>
        <v>S</v>
      </c>
      <c r="T19" s="43">
        <v>16</v>
      </c>
      <c r="U19" s="43" t="str">
        <f t="shared" si="13"/>
        <v>W</v>
      </c>
      <c r="V19" s="44">
        <v>34</v>
      </c>
      <c r="W19" s="44" t="str">
        <f t="shared" si="0"/>
        <v>W</v>
      </c>
      <c r="X19" s="44"/>
      <c r="Y19" s="44"/>
      <c r="Z19" s="44"/>
      <c r="AA19" s="44"/>
      <c r="AB19" s="99">
        <v>28</v>
      </c>
      <c r="AC19" s="99" t="str">
        <f t="shared" si="14"/>
        <v>W</v>
      </c>
      <c r="AD19" s="99">
        <v>40</v>
      </c>
      <c r="AE19" s="99" t="str">
        <f t="shared" si="1"/>
        <v>S</v>
      </c>
      <c r="AF19" s="100">
        <f t="shared" si="15"/>
        <v>301</v>
      </c>
      <c r="AG19" s="101">
        <f t="shared" si="16"/>
        <v>27.3636363636364</v>
      </c>
      <c r="AH19" s="100">
        <f t="shared" si="17"/>
        <v>23</v>
      </c>
      <c r="AI19" s="36">
        <f t="shared" si="18"/>
        <v>0</v>
      </c>
      <c r="AJ19" s="36">
        <f t="shared" si="2"/>
        <v>0</v>
      </c>
      <c r="AK19" s="36">
        <f t="shared" si="3"/>
        <v>1</v>
      </c>
      <c r="AL19" s="36">
        <f t="shared" si="4"/>
        <v>2</v>
      </c>
      <c r="AM19" s="36">
        <f t="shared" si="19"/>
        <v>8</v>
      </c>
      <c r="AN19" s="37">
        <f t="shared" si="20"/>
        <v>1</v>
      </c>
    </row>
    <row r="20" ht="13.9" customHeight="1" spans="1:40">
      <c r="A20" s="39">
        <v>13</v>
      </c>
      <c r="B20" s="320" t="s">
        <v>231</v>
      </c>
      <c r="C20" s="184" t="s">
        <v>219</v>
      </c>
      <c r="D20" s="41">
        <v>47</v>
      </c>
      <c r="E20" s="29" t="str">
        <f t="shared" si="5"/>
        <v>S</v>
      </c>
      <c r="F20" s="41">
        <v>35</v>
      </c>
      <c r="G20" s="49" t="str">
        <f t="shared" si="6"/>
        <v>W</v>
      </c>
      <c r="H20" s="46" t="s">
        <v>29</v>
      </c>
      <c r="I20" s="46" t="s">
        <v>29</v>
      </c>
      <c r="J20" s="46" t="s">
        <v>29</v>
      </c>
      <c r="K20" s="46" t="s">
        <v>29</v>
      </c>
      <c r="L20" s="41">
        <v>44</v>
      </c>
      <c r="M20" s="41" t="str">
        <f t="shared" si="9"/>
        <v>S</v>
      </c>
      <c r="N20" s="41">
        <v>33</v>
      </c>
      <c r="O20" s="293" t="str">
        <f t="shared" si="10"/>
        <v>W</v>
      </c>
      <c r="P20" s="43">
        <v>59</v>
      </c>
      <c r="Q20" s="43" t="str">
        <f t="shared" si="11"/>
        <v>C</v>
      </c>
      <c r="R20" s="43" t="s">
        <v>29</v>
      </c>
      <c r="S20" s="43" t="str">
        <f t="shared" si="12"/>
        <v>A</v>
      </c>
      <c r="T20" s="43">
        <v>12</v>
      </c>
      <c r="U20" s="43" t="str">
        <f t="shared" si="13"/>
        <v>W</v>
      </c>
      <c r="V20" s="44">
        <v>29</v>
      </c>
      <c r="W20" s="44" t="str">
        <f t="shared" si="0"/>
        <v>W</v>
      </c>
      <c r="X20" s="44"/>
      <c r="Y20" s="44"/>
      <c r="Z20" s="44"/>
      <c r="AA20" s="44"/>
      <c r="AB20" s="304" t="s">
        <v>29</v>
      </c>
      <c r="AC20" s="304" t="s">
        <v>29</v>
      </c>
      <c r="AD20" s="99">
        <v>40</v>
      </c>
      <c r="AE20" s="99" t="str">
        <f t="shared" si="1"/>
        <v>S</v>
      </c>
      <c r="AF20" s="100">
        <f t="shared" si="15"/>
        <v>299</v>
      </c>
      <c r="AG20" s="101">
        <f t="shared" si="16"/>
        <v>37.375</v>
      </c>
      <c r="AH20" s="100">
        <f t="shared" si="17"/>
        <v>24</v>
      </c>
      <c r="AI20" s="36">
        <f t="shared" si="18"/>
        <v>1</v>
      </c>
      <c r="AJ20" s="36">
        <f t="shared" si="2"/>
        <v>0</v>
      </c>
      <c r="AK20" s="36">
        <f t="shared" si="3"/>
        <v>1</v>
      </c>
      <c r="AL20" s="36">
        <f t="shared" si="4"/>
        <v>3</v>
      </c>
      <c r="AM20" s="36">
        <f t="shared" si="19"/>
        <v>4</v>
      </c>
      <c r="AN20" s="37">
        <f t="shared" si="20"/>
        <v>3.5</v>
      </c>
    </row>
    <row r="21" ht="13.9" customHeight="1" spans="1:40">
      <c r="A21" s="24">
        <v>14</v>
      </c>
      <c r="B21" s="320" t="s">
        <v>232</v>
      </c>
      <c r="C21" s="184" t="s">
        <v>219</v>
      </c>
      <c r="D21" s="41">
        <v>33</v>
      </c>
      <c r="E21" s="29" t="str">
        <f t="shared" si="5"/>
        <v>W</v>
      </c>
      <c r="F21" s="41">
        <v>27</v>
      </c>
      <c r="G21" s="49" t="str">
        <f t="shared" si="6"/>
        <v>W</v>
      </c>
      <c r="H21" s="41">
        <v>51</v>
      </c>
      <c r="I21" s="41" t="str">
        <f t="shared" si="7"/>
        <v>C</v>
      </c>
      <c r="J21" s="49">
        <v>40</v>
      </c>
      <c r="K21" s="41" t="str">
        <f t="shared" si="8"/>
        <v>S</v>
      </c>
      <c r="L21" s="49">
        <v>45</v>
      </c>
      <c r="M21" s="41" t="str">
        <f t="shared" si="9"/>
        <v>S</v>
      </c>
      <c r="N21" s="41">
        <v>46</v>
      </c>
      <c r="O21" s="293" t="str">
        <f t="shared" si="10"/>
        <v>S</v>
      </c>
      <c r="P21" s="43">
        <v>63</v>
      </c>
      <c r="Q21" s="43" t="str">
        <f t="shared" si="11"/>
        <v>C</v>
      </c>
      <c r="R21" s="43">
        <v>48</v>
      </c>
      <c r="S21" s="43" t="str">
        <f t="shared" si="12"/>
        <v>S</v>
      </c>
      <c r="T21" s="43">
        <v>18</v>
      </c>
      <c r="U21" s="43" t="str">
        <f t="shared" si="13"/>
        <v>W</v>
      </c>
      <c r="V21" s="44"/>
      <c r="W21" s="44"/>
      <c r="X21" s="44"/>
      <c r="Y21" s="44"/>
      <c r="Z21" s="44">
        <v>38</v>
      </c>
      <c r="AA21" s="44" t="str">
        <f t="shared" ref="AA21:AA41" si="21">IF(Z21&gt;=75,"A",IF(Z21&gt;=65,"B",IF(Z21&gt;=50,"C",IF(Z21&gt;=40,"S","W"))))</f>
        <v>W</v>
      </c>
      <c r="AB21" s="99">
        <v>65</v>
      </c>
      <c r="AC21" s="99" t="str">
        <f t="shared" si="14"/>
        <v>B</v>
      </c>
      <c r="AD21" s="99">
        <v>40</v>
      </c>
      <c r="AE21" s="99" t="str">
        <f t="shared" si="1"/>
        <v>S</v>
      </c>
      <c r="AF21" s="100">
        <f t="shared" si="15"/>
        <v>514</v>
      </c>
      <c r="AG21" s="101">
        <f t="shared" si="16"/>
        <v>42.8333333333333</v>
      </c>
      <c r="AH21" s="100">
        <f t="shared" si="17"/>
        <v>15</v>
      </c>
      <c r="AI21" s="36">
        <f t="shared" si="18"/>
        <v>0</v>
      </c>
      <c r="AJ21" s="36">
        <f t="shared" si="2"/>
        <v>1</v>
      </c>
      <c r="AK21" s="36">
        <f t="shared" si="3"/>
        <v>2</v>
      </c>
      <c r="AL21" s="36">
        <f t="shared" si="4"/>
        <v>5</v>
      </c>
      <c r="AM21" s="36">
        <f t="shared" si="19"/>
        <v>4</v>
      </c>
      <c r="AN21" s="37">
        <f t="shared" si="20"/>
        <v>0</v>
      </c>
    </row>
    <row r="22" ht="13.9" customHeight="1" spans="1:40">
      <c r="A22" s="39">
        <v>15</v>
      </c>
      <c r="B22" s="320" t="s">
        <v>233</v>
      </c>
      <c r="C22" s="184" t="s">
        <v>219</v>
      </c>
      <c r="D22" s="41">
        <v>25</v>
      </c>
      <c r="E22" s="29" t="str">
        <f t="shared" si="5"/>
        <v>W</v>
      </c>
      <c r="F22" s="46" t="s">
        <v>29</v>
      </c>
      <c r="G22" s="46" t="s">
        <v>29</v>
      </c>
      <c r="H22" s="46" t="s">
        <v>29</v>
      </c>
      <c r="I22" s="46" t="s">
        <v>29</v>
      </c>
      <c r="J22" s="46" t="s">
        <v>29</v>
      </c>
      <c r="K22" s="46" t="s">
        <v>29</v>
      </c>
      <c r="L22" s="41">
        <v>32</v>
      </c>
      <c r="M22" s="41" t="str">
        <f t="shared" si="9"/>
        <v>W</v>
      </c>
      <c r="N22" s="41">
        <v>14</v>
      </c>
      <c r="O22" s="293" t="str">
        <f t="shared" si="10"/>
        <v>W</v>
      </c>
      <c r="P22" s="43">
        <v>38</v>
      </c>
      <c r="Q22" s="43" t="str">
        <f t="shared" si="11"/>
        <v>W</v>
      </c>
      <c r="R22" s="43">
        <v>28</v>
      </c>
      <c r="S22" s="43" t="str">
        <f t="shared" si="12"/>
        <v>W</v>
      </c>
      <c r="T22" s="42" t="s">
        <v>29</v>
      </c>
      <c r="U22" s="42" t="s">
        <v>29</v>
      </c>
      <c r="V22" s="44"/>
      <c r="W22" s="44"/>
      <c r="X22" s="44">
        <v>50</v>
      </c>
      <c r="Y22" s="44" t="str">
        <f>IF(X22&gt;=75,"A",IF(X22&gt;=65,"B",IF(X22&gt;=50,"C",IF(X22&gt;=40,"S","W"))))</f>
        <v>C</v>
      </c>
      <c r="Z22" s="44"/>
      <c r="AA22" s="44"/>
      <c r="AB22" s="99">
        <v>48</v>
      </c>
      <c r="AC22" s="99" t="str">
        <f t="shared" si="14"/>
        <v>S</v>
      </c>
      <c r="AD22" s="99">
        <v>45</v>
      </c>
      <c r="AE22" s="99" t="str">
        <f t="shared" si="1"/>
        <v>S</v>
      </c>
      <c r="AF22" s="100">
        <f t="shared" si="15"/>
        <v>280</v>
      </c>
      <c r="AG22" s="101">
        <f t="shared" si="16"/>
        <v>35</v>
      </c>
      <c r="AH22" s="100">
        <f t="shared" si="17"/>
        <v>26</v>
      </c>
      <c r="AI22" s="36">
        <f t="shared" si="18"/>
        <v>0</v>
      </c>
      <c r="AJ22" s="36">
        <f t="shared" si="2"/>
        <v>0</v>
      </c>
      <c r="AK22" s="36">
        <f t="shared" si="3"/>
        <v>1</v>
      </c>
      <c r="AL22" s="36">
        <f t="shared" si="4"/>
        <v>2</v>
      </c>
      <c r="AM22" s="36">
        <f t="shared" si="19"/>
        <v>5</v>
      </c>
      <c r="AN22" s="37">
        <f t="shared" si="20"/>
        <v>4</v>
      </c>
    </row>
    <row r="23" ht="13.9" customHeight="1" spans="1:40">
      <c r="A23" s="24">
        <v>16</v>
      </c>
      <c r="B23" s="320" t="s">
        <v>234</v>
      </c>
      <c r="C23" s="184" t="s">
        <v>219</v>
      </c>
      <c r="D23" s="41">
        <v>51</v>
      </c>
      <c r="E23" s="29" t="str">
        <f t="shared" si="5"/>
        <v>C</v>
      </c>
      <c r="F23" s="41">
        <v>25</v>
      </c>
      <c r="G23" s="49" t="str">
        <f t="shared" si="6"/>
        <v>W</v>
      </c>
      <c r="H23" s="41">
        <v>47</v>
      </c>
      <c r="I23" s="41" t="str">
        <f t="shared" si="7"/>
        <v>S</v>
      </c>
      <c r="J23" s="49">
        <v>37</v>
      </c>
      <c r="K23" s="41" t="str">
        <f t="shared" si="8"/>
        <v>W</v>
      </c>
      <c r="L23" s="41">
        <v>54</v>
      </c>
      <c r="M23" s="41" t="str">
        <f t="shared" si="9"/>
        <v>C</v>
      </c>
      <c r="N23" s="49">
        <v>54</v>
      </c>
      <c r="O23" s="293" t="str">
        <f t="shared" si="10"/>
        <v>C</v>
      </c>
      <c r="P23" s="43">
        <v>61</v>
      </c>
      <c r="Q23" s="43" t="str">
        <f t="shared" si="11"/>
        <v>C</v>
      </c>
      <c r="R23" s="43">
        <v>65</v>
      </c>
      <c r="S23" s="43" t="str">
        <f t="shared" si="12"/>
        <v>B</v>
      </c>
      <c r="T23" s="43">
        <v>22</v>
      </c>
      <c r="U23" s="43" t="str">
        <f t="shared" si="13"/>
        <v>W</v>
      </c>
      <c r="V23" s="44"/>
      <c r="W23" s="44"/>
      <c r="X23" s="44"/>
      <c r="Y23" s="44"/>
      <c r="Z23" s="44">
        <v>32</v>
      </c>
      <c r="AA23" s="44" t="str">
        <f t="shared" si="21"/>
        <v>W</v>
      </c>
      <c r="AB23" s="99">
        <v>62</v>
      </c>
      <c r="AC23" s="99" t="str">
        <f t="shared" si="14"/>
        <v>C</v>
      </c>
      <c r="AD23" s="99">
        <v>40</v>
      </c>
      <c r="AE23" s="99" t="str">
        <f t="shared" si="1"/>
        <v>S</v>
      </c>
      <c r="AF23" s="100">
        <f t="shared" si="15"/>
        <v>550</v>
      </c>
      <c r="AG23" s="101">
        <f t="shared" si="16"/>
        <v>45.8333333333333</v>
      </c>
      <c r="AH23" s="100">
        <f t="shared" si="17"/>
        <v>14</v>
      </c>
      <c r="AI23" s="36">
        <f t="shared" si="18"/>
        <v>0</v>
      </c>
      <c r="AJ23" s="36">
        <f t="shared" si="2"/>
        <v>1</v>
      </c>
      <c r="AK23" s="36">
        <f t="shared" si="3"/>
        <v>5</v>
      </c>
      <c r="AL23" s="36">
        <f t="shared" si="4"/>
        <v>2</v>
      </c>
      <c r="AM23" s="36">
        <f t="shared" si="19"/>
        <v>4</v>
      </c>
      <c r="AN23" s="37">
        <f t="shared" si="20"/>
        <v>0</v>
      </c>
    </row>
    <row r="24" ht="13.9" customHeight="1" spans="1:40">
      <c r="A24" s="39">
        <v>17</v>
      </c>
      <c r="B24" s="320" t="s">
        <v>235</v>
      </c>
      <c r="C24" s="184" t="s">
        <v>219</v>
      </c>
      <c r="D24" s="41">
        <v>11</v>
      </c>
      <c r="E24" s="29" t="str">
        <f t="shared" si="5"/>
        <v>W</v>
      </c>
      <c r="F24" s="41">
        <v>15</v>
      </c>
      <c r="G24" s="49" t="str">
        <f t="shared" si="6"/>
        <v>W</v>
      </c>
      <c r="H24" s="41">
        <v>16</v>
      </c>
      <c r="I24" s="41" t="str">
        <f t="shared" si="7"/>
        <v>W</v>
      </c>
      <c r="J24" s="49">
        <v>12</v>
      </c>
      <c r="K24" s="41" t="str">
        <f t="shared" si="8"/>
        <v>W</v>
      </c>
      <c r="L24" s="41">
        <v>23</v>
      </c>
      <c r="M24" s="41" t="str">
        <f t="shared" si="9"/>
        <v>W</v>
      </c>
      <c r="N24" s="41">
        <v>20</v>
      </c>
      <c r="O24" s="293" t="str">
        <f t="shared" si="10"/>
        <v>W</v>
      </c>
      <c r="P24" s="43">
        <v>12</v>
      </c>
      <c r="Q24" s="43" t="str">
        <f t="shared" si="11"/>
        <v>W</v>
      </c>
      <c r="R24" s="43">
        <v>18</v>
      </c>
      <c r="S24" s="43" t="str">
        <f t="shared" si="12"/>
        <v>W</v>
      </c>
      <c r="T24" s="43">
        <v>18</v>
      </c>
      <c r="U24" s="43" t="str">
        <f t="shared" si="13"/>
        <v>W</v>
      </c>
      <c r="V24" s="44">
        <v>19</v>
      </c>
      <c r="W24" s="44" t="str">
        <f t="shared" si="0"/>
        <v>W</v>
      </c>
      <c r="X24" s="44"/>
      <c r="Y24" s="44"/>
      <c r="Z24" s="44"/>
      <c r="AA24" s="44"/>
      <c r="AB24" s="99">
        <v>14</v>
      </c>
      <c r="AC24" s="99" t="str">
        <f t="shared" si="14"/>
        <v>W</v>
      </c>
      <c r="AD24" s="99">
        <v>35</v>
      </c>
      <c r="AE24" s="99" t="str">
        <f t="shared" si="1"/>
        <v>W</v>
      </c>
      <c r="AF24" s="100">
        <f t="shared" si="15"/>
        <v>213</v>
      </c>
      <c r="AG24" s="101">
        <f t="shared" si="16"/>
        <v>17.75</v>
      </c>
      <c r="AH24" s="100">
        <f t="shared" si="17"/>
        <v>28</v>
      </c>
      <c r="AI24" s="36">
        <f t="shared" si="18"/>
        <v>0</v>
      </c>
      <c r="AJ24" s="36">
        <f t="shared" si="2"/>
        <v>0</v>
      </c>
      <c r="AK24" s="36">
        <f t="shared" si="3"/>
        <v>0</v>
      </c>
      <c r="AL24" s="36">
        <f t="shared" si="4"/>
        <v>0</v>
      </c>
      <c r="AM24" s="36">
        <f t="shared" si="19"/>
        <v>12</v>
      </c>
      <c r="AN24" s="37">
        <f t="shared" si="20"/>
        <v>0</v>
      </c>
    </row>
    <row r="25" ht="13.9" customHeight="1" spans="1:40">
      <c r="A25" s="24">
        <v>18</v>
      </c>
      <c r="B25" s="320" t="s">
        <v>236</v>
      </c>
      <c r="C25" s="184" t="s">
        <v>219</v>
      </c>
      <c r="D25" s="41">
        <v>53</v>
      </c>
      <c r="E25" s="29" t="str">
        <f t="shared" si="5"/>
        <v>C</v>
      </c>
      <c r="F25" s="41">
        <v>43</v>
      </c>
      <c r="G25" s="49" t="str">
        <f t="shared" si="6"/>
        <v>S</v>
      </c>
      <c r="H25" s="41">
        <v>58</v>
      </c>
      <c r="I25" s="41" t="str">
        <f t="shared" si="7"/>
        <v>C</v>
      </c>
      <c r="J25" s="49">
        <v>61</v>
      </c>
      <c r="K25" s="41" t="str">
        <f t="shared" si="8"/>
        <v>C</v>
      </c>
      <c r="L25" s="49">
        <v>42</v>
      </c>
      <c r="M25" s="41" t="str">
        <f t="shared" si="9"/>
        <v>S</v>
      </c>
      <c r="N25" s="41">
        <v>56</v>
      </c>
      <c r="O25" s="293" t="str">
        <f t="shared" si="10"/>
        <v>C</v>
      </c>
      <c r="P25" s="43">
        <v>71</v>
      </c>
      <c r="Q25" s="43" t="str">
        <f t="shared" si="11"/>
        <v>B</v>
      </c>
      <c r="R25" s="43">
        <v>64</v>
      </c>
      <c r="S25" s="43" t="str">
        <f t="shared" si="12"/>
        <v>C</v>
      </c>
      <c r="T25" s="43">
        <v>22</v>
      </c>
      <c r="U25" s="43" t="str">
        <f t="shared" si="13"/>
        <v>W</v>
      </c>
      <c r="V25" s="44"/>
      <c r="W25" s="44"/>
      <c r="X25" s="44">
        <v>64</v>
      </c>
      <c r="Y25" s="44" t="str">
        <f>IF(X25&gt;=75,"A",IF(X25&gt;=65,"B",IF(X25&gt;=50,"C",IF(X25&gt;=40,"S","W"))))</f>
        <v>C</v>
      </c>
      <c r="Z25" s="44"/>
      <c r="AA25" s="44"/>
      <c r="AB25" s="99">
        <v>83</v>
      </c>
      <c r="AC25" s="99" t="str">
        <f t="shared" si="14"/>
        <v>A</v>
      </c>
      <c r="AD25" s="99">
        <v>80</v>
      </c>
      <c r="AE25" s="99" t="str">
        <f t="shared" si="1"/>
        <v>A</v>
      </c>
      <c r="AF25" s="100">
        <f t="shared" si="15"/>
        <v>697</v>
      </c>
      <c r="AG25" s="101">
        <f t="shared" si="16"/>
        <v>58.0833333333333</v>
      </c>
      <c r="AH25" s="100">
        <f t="shared" si="17"/>
        <v>6</v>
      </c>
      <c r="AI25" s="36">
        <f t="shared" si="18"/>
        <v>2</v>
      </c>
      <c r="AJ25" s="36">
        <f t="shared" si="2"/>
        <v>1</v>
      </c>
      <c r="AK25" s="36">
        <f t="shared" si="3"/>
        <v>6</v>
      </c>
      <c r="AL25" s="36">
        <f t="shared" si="4"/>
        <v>2</v>
      </c>
      <c r="AM25" s="36">
        <f t="shared" si="19"/>
        <v>1</v>
      </c>
      <c r="AN25" s="37">
        <f t="shared" si="20"/>
        <v>0</v>
      </c>
    </row>
    <row r="26" s="341" customFormat="1" ht="13.9" customHeight="1" spans="1:40">
      <c r="A26" s="347">
        <v>19</v>
      </c>
      <c r="B26" s="348" t="s">
        <v>237</v>
      </c>
      <c r="C26" s="349" t="s">
        <v>219</v>
      </c>
      <c r="D26" s="298" t="s">
        <v>29</v>
      </c>
      <c r="E26" s="298" t="s">
        <v>29</v>
      </c>
      <c r="F26" s="298" t="s">
        <v>29</v>
      </c>
      <c r="G26" s="298" t="s">
        <v>29</v>
      </c>
      <c r="H26" s="298" t="s">
        <v>29</v>
      </c>
      <c r="I26" s="298" t="s">
        <v>29</v>
      </c>
      <c r="J26" s="298" t="s">
        <v>29</v>
      </c>
      <c r="K26" s="298" t="s">
        <v>29</v>
      </c>
      <c r="L26" s="298" t="s">
        <v>29</v>
      </c>
      <c r="M26" s="298" t="s">
        <v>29</v>
      </c>
      <c r="N26" s="298" t="s">
        <v>29</v>
      </c>
      <c r="O26" s="298" t="s">
        <v>29</v>
      </c>
      <c r="P26" s="298" t="s">
        <v>29</v>
      </c>
      <c r="Q26" s="298" t="s">
        <v>29</v>
      </c>
      <c r="R26" s="298" t="s">
        <v>29</v>
      </c>
      <c r="S26" s="298" t="s">
        <v>29</v>
      </c>
      <c r="T26" s="298" t="s">
        <v>29</v>
      </c>
      <c r="U26" s="298" t="s">
        <v>29</v>
      </c>
      <c r="V26" s="298" t="s">
        <v>29</v>
      </c>
      <c r="W26" s="298" t="s">
        <v>29</v>
      </c>
      <c r="X26" s="298" t="s">
        <v>29</v>
      </c>
      <c r="Y26" s="298" t="s">
        <v>29</v>
      </c>
      <c r="Z26" s="298" t="s">
        <v>29</v>
      </c>
      <c r="AA26" s="298" t="s">
        <v>29</v>
      </c>
      <c r="AB26" s="350" t="s">
        <v>29</v>
      </c>
      <c r="AC26" s="350" t="s">
        <v>29</v>
      </c>
      <c r="AD26" s="350" t="s">
        <v>29</v>
      </c>
      <c r="AE26" s="350" t="s">
        <v>29</v>
      </c>
      <c r="AF26" s="300">
        <f t="shared" si="15"/>
        <v>0</v>
      </c>
      <c r="AG26" s="301">
        <v>0</v>
      </c>
      <c r="AH26" s="300">
        <f t="shared" si="17"/>
        <v>34</v>
      </c>
      <c r="AI26" s="302">
        <f t="shared" si="18"/>
        <v>0</v>
      </c>
      <c r="AJ26" s="302">
        <f t="shared" si="2"/>
        <v>0</v>
      </c>
      <c r="AK26" s="302">
        <f t="shared" si="3"/>
        <v>0</v>
      </c>
      <c r="AL26" s="302">
        <f t="shared" si="4"/>
        <v>0</v>
      </c>
      <c r="AM26" s="302">
        <f t="shared" si="19"/>
        <v>0</v>
      </c>
      <c r="AN26" s="303">
        <f t="shared" si="20"/>
        <v>14</v>
      </c>
    </row>
    <row r="27" ht="13.9" customHeight="1" spans="1:40">
      <c r="A27" s="24">
        <v>20</v>
      </c>
      <c r="B27" s="320" t="s">
        <v>238</v>
      </c>
      <c r="C27" s="184" t="s">
        <v>219</v>
      </c>
      <c r="D27" s="46" t="s">
        <v>29</v>
      </c>
      <c r="E27" s="46" t="s">
        <v>29</v>
      </c>
      <c r="F27" s="41">
        <v>5</v>
      </c>
      <c r="G27" s="49" t="str">
        <f t="shared" si="6"/>
        <v>W</v>
      </c>
      <c r="H27" s="41">
        <v>26</v>
      </c>
      <c r="I27" s="41" t="str">
        <f t="shared" si="7"/>
        <v>W</v>
      </c>
      <c r="J27" s="49">
        <v>21</v>
      </c>
      <c r="K27" s="41" t="str">
        <f t="shared" si="8"/>
        <v>W</v>
      </c>
      <c r="L27" s="46" t="s">
        <v>29</v>
      </c>
      <c r="M27" s="46" t="s">
        <v>29</v>
      </c>
      <c r="N27" s="41">
        <v>38</v>
      </c>
      <c r="O27" s="293" t="str">
        <f t="shared" si="10"/>
        <v>W</v>
      </c>
      <c r="P27" s="42" t="s">
        <v>29</v>
      </c>
      <c r="Q27" s="42" t="s">
        <v>29</v>
      </c>
      <c r="R27" s="43">
        <v>38</v>
      </c>
      <c r="S27" s="43" t="str">
        <f t="shared" si="12"/>
        <v>W</v>
      </c>
      <c r="T27" s="309">
        <v>17</v>
      </c>
      <c r="U27" s="43" t="str">
        <f t="shared" si="13"/>
        <v>W</v>
      </c>
      <c r="V27" s="44"/>
      <c r="W27" s="44"/>
      <c r="X27" s="44">
        <v>48</v>
      </c>
      <c r="Y27" s="44" t="str">
        <f t="shared" ref="Y27:Y39" si="22">IF(X27&gt;=75,"A",IF(X27&gt;=65,"B",IF(X27&gt;=50,"C",IF(X27&gt;=40,"S","W"))))</f>
        <v>S</v>
      </c>
      <c r="Z27" s="44"/>
      <c r="AA27" s="44"/>
      <c r="AB27" s="99">
        <v>21</v>
      </c>
      <c r="AC27" s="99" t="str">
        <f t="shared" si="14"/>
        <v>W</v>
      </c>
      <c r="AD27" s="99">
        <v>85</v>
      </c>
      <c r="AE27" s="99" t="str">
        <f t="shared" si="1"/>
        <v>A</v>
      </c>
      <c r="AF27" s="100">
        <f t="shared" si="15"/>
        <v>299</v>
      </c>
      <c r="AG27" s="101">
        <f>AVERAGE(D27,F27,H27,J27,L27,N27,P27,R27,T27,V27,X27,Z27,AB27,AD27)</f>
        <v>33.2222222222222</v>
      </c>
      <c r="AH27" s="100">
        <f t="shared" si="17"/>
        <v>24</v>
      </c>
      <c r="AI27" s="36">
        <f t="shared" si="18"/>
        <v>1</v>
      </c>
      <c r="AJ27" s="36">
        <f t="shared" si="2"/>
        <v>0</v>
      </c>
      <c r="AK27" s="36">
        <f t="shared" si="3"/>
        <v>0</v>
      </c>
      <c r="AL27" s="36">
        <f t="shared" si="4"/>
        <v>1</v>
      </c>
      <c r="AM27" s="36">
        <f t="shared" si="19"/>
        <v>7</v>
      </c>
      <c r="AN27" s="37">
        <f t="shared" si="20"/>
        <v>3</v>
      </c>
    </row>
    <row r="28" ht="13.9" customHeight="1" spans="1:40">
      <c r="A28" s="39">
        <v>21</v>
      </c>
      <c r="B28" s="320" t="s">
        <v>239</v>
      </c>
      <c r="C28" s="184" t="s">
        <v>219</v>
      </c>
      <c r="D28" s="49">
        <v>82</v>
      </c>
      <c r="E28" s="29" t="str">
        <f t="shared" si="5"/>
        <v>A</v>
      </c>
      <c r="F28" s="41">
        <v>53</v>
      </c>
      <c r="G28" s="49" t="str">
        <f t="shared" si="6"/>
        <v>C</v>
      </c>
      <c r="H28" s="41">
        <v>66</v>
      </c>
      <c r="I28" s="41" t="str">
        <f t="shared" si="7"/>
        <v>B</v>
      </c>
      <c r="J28" s="41">
        <v>88</v>
      </c>
      <c r="K28" s="41" t="str">
        <f t="shared" si="8"/>
        <v>A</v>
      </c>
      <c r="L28" s="49">
        <v>65</v>
      </c>
      <c r="M28" s="41" t="str">
        <f t="shared" si="9"/>
        <v>B</v>
      </c>
      <c r="N28" s="41">
        <v>64</v>
      </c>
      <c r="O28" s="293" t="str">
        <f t="shared" si="10"/>
        <v>C</v>
      </c>
      <c r="P28" s="309">
        <v>82</v>
      </c>
      <c r="Q28" s="43" t="str">
        <f t="shared" si="11"/>
        <v>A</v>
      </c>
      <c r="R28" s="43">
        <v>74</v>
      </c>
      <c r="S28" s="43" t="str">
        <f t="shared" si="12"/>
        <v>B</v>
      </c>
      <c r="T28" s="43">
        <v>63</v>
      </c>
      <c r="U28" s="43" t="str">
        <f t="shared" si="13"/>
        <v>C</v>
      </c>
      <c r="V28" s="44"/>
      <c r="W28" s="44"/>
      <c r="X28" s="44">
        <v>76</v>
      </c>
      <c r="Y28" s="44" t="str">
        <f t="shared" si="22"/>
        <v>A</v>
      </c>
      <c r="Z28" s="44"/>
      <c r="AA28" s="44"/>
      <c r="AB28" s="99">
        <v>84</v>
      </c>
      <c r="AC28" s="99" t="str">
        <f t="shared" si="14"/>
        <v>A</v>
      </c>
      <c r="AD28" s="99">
        <v>93</v>
      </c>
      <c r="AE28" s="99" t="str">
        <f t="shared" si="1"/>
        <v>A</v>
      </c>
      <c r="AF28" s="100">
        <f t="shared" si="15"/>
        <v>890</v>
      </c>
      <c r="AG28" s="101">
        <f t="shared" si="16"/>
        <v>74.1666666666667</v>
      </c>
      <c r="AH28" s="100">
        <f t="shared" si="17"/>
        <v>2</v>
      </c>
      <c r="AI28" s="36">
        <f t="shared" si="18"/>
        <v>6</v>
      </c>
      <c r="AJ28" s="36">
        <f t="shared" si="2"/>
        <v>3</v>
      </c>
      <c r="AK28" s="36">
        <f t="shared" si="3"/>
        <v>3</v>
      </c>
      <c r="AL28" s="36">
        <f t="shared" si="4"/>
        <v>0</v>
      </c>
      <c r="AM28" s="36">
        <f t="shared" si="19"/>
        <v>0</v>
      </c>
      <c r="AN28" s="37">
        <f t="shared" si="20"/>
        <v>0</v>
      </c>
    </row>
    <row r="29" ht="13.9" customHeight="1" spans="1:40">
      <c r="A29" s="24">
        <v>22</v>
      </c>
      <c r="B29" s="320" t="s">
        <v>240</v>
      </c>
      <c r="C29" s="184" t="s">
        <v>219</v>
      </c>
      <c r="D29" s="49">
        <v>55</v>
      </c>
      <c r="E29" s="29" t="str">
        <f t="shared" si="5"/>
        <v>C</v>
      </c>
      <c r="F29" s="41">
        <v>42</v>
      </c>
      <c r="G29" s="49" t="str">
        <f t="shared" si="6"/>
        <v>S</v>
      </c>
      <c r="H29" s="41">
        <v>81</v>
      </c>
      <c r="I29" s="41" t="str">
        <f t="shared" si="7"/>
        <v>A</v>
      </c>
      <c r="J29" s="41">
        <v>32</v>
      </c>
      <c r="K29" s="41" t="str">
        <f t="shared" si="8"/>
        <v>W</v>
      </c>
      <c r="L29" s="41">
        <v>64</v>
      </c>
      <c r="M29" s="41" t="str">
        <f t="shared" si="9"/>
        <v>C</v>
      </c>
      <c r="N29" s="41">
        <v>47</v>
      </c>
      <c r="O29" s="293" t="str">
        <f t="shared" si="10"/>
        <v>S</v>
      </c>
      <c r="P29" s="309">
        <v>70</v>
      </c>
      <c r="Q29" s="43" t="str">
        <f t="shared" si="11"/>
        <v>B</v>
      </c>
      <c r="R29" s="43">
        <v>58</v>
      </c>
      <c r="S29" s="43" t="str">
        <f t="shared" si="12"/>
        <v>C</v>
      </c>
      <c r="T29" s="43">
        <v>56</v>
      </c>
      <c r="U29" s="43" t="str">
        <f t="shared" si="13"/>
        <v>C</v>
      </c>
      <c r="V29" s="44"/>
      <c r="W29" s="44"/>
      <c r="X29" s="44"/>
      <c r="Y29" s="44"/>
      <c r="Z29" s="44">
        <v>64</v>
      </c>
      <c r="AA29" s="44" t="str">
        <f t="shared" si="21"/>
        <v>C</v>
      </c>
      <c r="AB29" s="99">
        <v>59</v>
      </c>
      <c r="AC29" s="99" t="str">
        <f t="shared" si="14"/>
        <v>C</v>
      </c>
      <c r="AD29" s="99">
        <v>90</v>
      </c>
      <c r="AE29" s="99" t="str">
        <f t="shared" si="1"/>
        <v>A</v>
      </c>
      <c r="AF29" s="100">
        <f t="shared" si="15"/>
        <v>718</v>
      </c>
      <c r="AG29" s="101">
        <f t="shared" si="16"/>
        <v>59.8333333333333</v>
      </c>
      <c r="AH29" s="100">
        <f t="shared" si="17"/>
        <v>5</v>
      </c>
      <c r="AI29" s="36">
        <f t="shared" si="18"/>
        <v>2</v>
      </c>
      <c r="AJ29" s="36">
        <f t="shared" si="2"/>
        <v>1</v>
      </c>
      <c r="AK29" s="36">
        <f t="shared" si="3"/>
        <v>6</v>
      </c>
      <c r="AL29" s="36">
        <f t="shared" si="4"/>
        <v>2</v>
      </c>
      <c r="AM29" s="36">
        <f t="shared" si="19"/>
        <v>1</v>
      </c>
      <c r="AN29" s="37">
        <f t="shared" si="20"/>
        <v>0</v>
      </c>
    </row>
    <row r="30" ht="13.9" customHeight="1" spans="1:40">
      <c r="A30" s="39">
        <v>23</v>
      </c>
      <c r="B30" s="320" t="s">
        <v>241</v>
      </c>
      <c r="C30" s="184" t="s">
        <v>219</v>
      </c>
      <c r="D30" s="49">
        <v>65</v>
      </c>
      <c r="E30" s="29" t="str">
        <f t="shared" si="5"/>
        <v>B</v>
      </c>
      <c r="F30" s="41">
        <v>31</v>
      </c>
      <c r="G30" s="49" t="str">
        <f t="shared" si="6"/>
        <v>W</v>
      </c>
      <c r="H30" s="41">
        <v>90</v>
      </c>
      <c r="I30" s="41" t="str">
        <f t="shared" si="7"/>
        <v>A</v>
      </c>
      <c r="J30" s="41">
        <v>26</v>
      </c>
      <c r="K30" s="41" t="str">
        <f t="shared" si="8"/>
        <v>W</v>
      </c>
      <c r="L30" s="41">
        <v>54</v>
      </c>
      <c r="M30" s="41" t="str">
        <f t="shared" si="9"/>
        <v>C</v>
      </c>
      <c r="N30" s="41">
        <v>61</v>
      </c>
      <c r="O30" s="293" t="str">
        <f t="shared" si="10"/>
        <v>C</v>
      </c>
      <c r="P30" s="43">
        <v>61</v>
      </c>
      <c r="Q30" s="43" t="str">
        <f t="shared" si="11"/>
        <v>C</v>
      </c>
      <c r="R30" s="309">
        <v>76</v>
      </c>
      <c r="S30" s="43" t="str">
        <f t="shared" si="12"/>
        <v>A</v>
      </c>
      <c r="T30" s="43">
        <v>52</v>
      </c>
      <c r="U30" s="43" t="str">
        <f t="shared" si="13"/>
        <v>C</v>
      </c>
      <c r="V30" s="44"/>
      <c r="W30" s="44"/>
      <c r="X30" s="44">
        <v>43</v>
      </c>
      <c r="Y30" s="44" t="str">
        <f t="shared" si="22"/>
        <v>S</v>
      </c>
      <c r="Z30" s="86"/>
      <c r="AA30" s="44"/>
      <c r="AB30" s="99">
        <v>65</v>
      </c>
      <c r="AC30" s="99" t="str">
        <f t="shared" si="14"/>
        <v>B</v>
      </c>
      <c r="AD30" s="99">
        <v>60</v>
      </c>
      <c r="AE30" s="99" t="str">
        <f t="shared" si="1"/>
        <v>C</v>
      </c>
      <c r="AF30" s="100">
        <f t="shared" si="15"/>
        <v>684</v>
      </c>
      <c r="AG30" s="101">
        <f t="shared" si="16"/>
        <v>57</v>
      </c>
      <c r="AH30" s="100">
        <f t="shared" si="17"/>
        <v>7</v>
      </c>
      <c r="AI30" s="36">
        <f t="shared" si="18"/>
        <v>2</v>
      </c>
      <c r="AJ30" s="36">
        <f t="shared" si="2"/>
        <v>2</v>
      </c>
      <c r="AK30" s="36">
        <f t="shared" si="3"/>
        <v>5</v>
      </c>
      <c r="AL30" s="36">
        <f t="shared" si="4"/>
        <v>1</v>
      </c>
      <c r="AM30" s="36">
        <f t="shared" si="19"/>
        <v>2</v>
      </c>
      <c r="AN30" s="37">
        <f t="shared" si="20"/>
        <v>0</v>
      </c>
    </row>
    <row r="31" ht="13.9" customHeight="1" spans="1:40">
      <c r="A31" s="24">
        <v>24</v>
      </c>
      <c r="B31" s="320" t="s">
        <v>242</v>
      </c>
      <c r="C31" s="184" t="s">
        <v>219</v>
      </c>
      <c r="D31" s="49">
        <v>20</v>
      </c>
      <c r="E31" s="29" t="str">
        <f t="shared" si="5"/>
        <v>W</v>
      </c>
      <c r="F31" s="41">
        <v>9</v>
      </c>
      <c r="G31" s="49" t="str">
        <f t="shared" si="6"/>
        <v>W</v>
      </c>
      <c r="H31" s="41">
        <v>21</v>
      </c>
      <c r="I31" s="41" t="str">
        <f t="shared" si="7"/>
        <v>W</v>
      </c>
      <c r="J31" s="49">
        <v>20</v>
      </c>
      <c r="K31" s="41" t="str">
        <f t="shared" si="8"/>
        <v>W</v>
      </c>
      <c r="L31" s="41">
        <v>28</v>
      </c>
      <c r="M31" s="41" t="str">
        <f t="shared" si="9"/>
        <v>W</v>
      </c>
      <c r="N31" s="46" t="s">
        <v>29</v>
      </c>
      <c r="O31" s="46" t="s">
        <v>29</v>
      </c>
      <c r="P31" s="43">
        <v>27</v>
      </c>
      <c r="Q31" s="43" t="str">
        <f t="shared" si="11"/>
        <v>W</v>
      </c>
      <c r="R31" s="309">
        <v>18</v>
      </c>
      <c r="S31" s="43" t="str">
        <f t="shared" si="12"/>
        <v>W</v>
      </c>
      <c r="T31" s="43">
        <v>16</v>
      </c>
      <c r="U31" s="43" t="str">
        <f t="shared" si="13"/>
        <v>W</v>
      </c>
      <c r="V31" s="44"/>
      <c r="W31" s="44"/>
      <c r="X31" s="44"/>
      <c r="Y31" s="44"/>
      <c r="Z31" s="44">
        <v>35</v>
      </c>
      <c r="AA31" s="44" t="str">
        <f t="shared" si="21"/>
        <v>W</v>
      </c>
      <c r="AB31" s="99">
        <v>35</v>
      </c>
      <c r="AC31" s="99" t="str">
        <f t="shared" si="14"/>
        <v>W</v>
      </c>
      <c r="AD31" s="99">
        <v>85</v>
      </c>
      <c r="AE31" s="99" t="str">
        <f t="shared" si="1"/>
        <v>A</v>
      </c>
      <c r="AF31" s="100">
        <f t="shared" si="15"/>
        <v>314</v>
      </c>
      <c r="AG31" s="101">
        <f t="shared" si="16"/>
        <v>28.5454545454545</v>
      </c>
      <c r="AH31" s="100">
        <f t="shared" si="17"/>
        <v>22</v>
      </c>
      <c r="AI31" s="36">
        <f t="shared" si="18"/>
        <v>1</v>
      </c>
      <c r="AJ31" s="36">
        <f t="shared" si="2"/>
        <v>0</v>
      </c>
      <c r="AK31" s="36">
        <f t="shared" si="3"/>
        <v>0</v>
      </c>
      <c r="AL31" s="36">
        <f t="shared" si="4"/>
        <v>0</v>
      </c>
      <c r="AM31" s="36">
        <f t="shared" si="19"/>
        <v>10</v>
      </c>
      <c r="AN31" s="37">
        <f t="shared" si="20"/>
        <v>1</v>
      </c>
    </row>
    <row r="32" ht="13.9" customHeight="1" spans="1:40">
      <c r="A32" s="39">
        <v>25</v>
      </c>
      <c r="B32" s="320" t="s">
        <v>243</v>
      </c>
      <c r="C32" s="184" t="s">
        <v>219</v>
      </c>
      <c r="D32" s="49">
        <v>68</v>
      </c>
      <c r="E32" s="29" t="str">
        <f t="shared" si="5"/>
        <v>B</v>
      </c>
      <c r="F32" s="41">
        <v>32</v>
      </c>
      <c r="G32" s="49" t="str">
        <f t="shared" si="6"/>
        <v>W</v>
      </c>
      <c r="H32" s="41">
        <v>45</v>
      </c>
      <c r="I32" s="41" t="str">
        <f t="shared" si="7"/>
        <v>S</v>
      </c>
      <c r="J32" s="41">
        <v>61</v>
      </c>
      <c r="K32" s="41" t="str">
        <f t="shared" si="8"/>
        <v>C</v>
      </c>
      <c r="L32" s="41">
        <v>40</v>
      </c>
      <c r="M32" s="41" t="str">
        <f t="shared" si="9"/>
        <v>S</v>
      </c>
      <c r="N32" s="41">
        <v>48</v>
      </c>
      <c r="O32" s="293" t="str">
        <f t="shared" si="10"/>
        <v>S</v>
      </c>
      <c r="P32" s="43">
        <v>66</v>
      </c>
      <c r="Q32" s="43" t="str">
        <f t="shared" si="11"/>
        <v>B</v>
      </c>
      <c r="R32" s="43">
        <v>52</v>
      </c>
      <c r="S32" s="43" t="str">
        <f t="shared" si="12"/>
        <v>C</v>
      </c>
      <c r="T32" s="43">
        <v>34</v>
      </c>
      <c r="U32" s="43" t="str">
        <f t="shared" si="13"/>
        <v>W</v>
      </c>
      <c r="V32" s="44"/>
      <c r="W32" s="44"/>
      <c r="X32" s="44">
        <v>66</v>
      </c>
      <c r="Y32" s="44" t="str">
        <f t="shared" si="22"/>
        <v>B</v>
      </c>
      <c r="Z32" s="44"/>
      <c r="AA32" s="44"/>
      <c r="AB32" s="99">
        <v>56</v>
      </c>
      <c r="AC32" s="99" t="str">
        <f t="shared" si="14"/>
        <v>C</v>
      </c>
      <c r="AD32" s="99">
        <v>85</v>
      </c>
      <c r="AE32" s="99" t="str">
        <f t="shared" si="1"/>
        <v>A</v>
      </c>
      <c r="AF32" s="100">
        <f t="shared" si="15"/>
        <v>653</v>
      </c>
      <c r="AG32" s="101">
        <f t="shared" si="16"/>
        <v>54.4166666666667</v>
      </c>
      <c r="AH32" s="100">
        <f t="shared" si="17"/>
        <v>9</v>
      </c>
      <c r="AI32" s="36">
        <f t="shared" si="18"/>
        <v>1</v>
      </c>
      <c r="AJ32" s="36">
        <f t="shared" si="2"/>
        <v>3</v>
      </c>
      <c r="AK32" s="36">
        <f t="shared" si="3"/>
        <v>3</v>
      </c>
      <c r="AL32" s="36">
        <f t="shared" si="4"/>
        <v>3</v>
      </c>
      <c r="AM32" s="36">
        <f t="shared" si="19"/>
        <v>2</v>
      </c>
      <c r="AN32" s="37">
        <f t="shared" si="20"/>
        <v>0</v>
      </c>
    </row>
    <row r="33" ht="13.9" customHeight="1" spans="1:40">
      <c r="A33" s="24">
        <v>26</v>
      </c>
      <c r="B33" s="320" t="s">
        <v>244</v>
      </c>
      <c r="C33" s="184" t="s">
        <v>219</v>
      </c>
      <c r="D33" s="49">
        <v>4</v>
      </c>
      <c r="E33" s="29" t="str">
        <f t="shared" si="5"/>
        <v>W</v>
      </c>
      <c r="F33" s="41">
        <v>2</v>
      </c>
      <c r="G33" s="49" t="str">
        <f t="shared" si="6"/>
        <v>W</v>
      </c>
      <c r="H33" s="41">
        <v>4</v>
      </c>
      <c r="I33" s="41" t="str">
        <f t="shared" si="7"/>
        <v>W</v>
      </c>
      <c r="J33" s="41">
        <v>5</v>
      </c>
      <c r="K33" s="41" t="str">
        <f t="shared" si="8"/>
        <v>W</v>
      </c>
      <c r="L33" s="41">
        <v>15</v>
      </c>
      <c r="M33" s="41" t="str">
        <f t="shared" si="9"/>
        <v>W</v>
      </c>
      <c r="N33" s="41">
        <v>22</v>
      </c>
      <c r="O33" s="293" t="str">
        <f t="shared" si="10"/>
        <v>W</v>
      </c>
      <c r="P33" s="43">
        <v>14</v>
      </c>
      <c r="Q33" s="43" t="str">
        <f t="shared" si="11"/>
        <v>W</v>
      </c>
      <c r="R33" s="43">
        <v>2</v>
      </c>
      <c r="S33" s="43" t="str">
        <f t="shared" si="12"/>
        <v>W</v>
      </c>
      <c r="T33" s="309">
        <v>12</v>
      </c>
      <c r="U33" s="43" t="str">
        <f t="shared" si="13"/>
        <v>W</v>
      </c>
      <c r="V33" s="44">
        <v>18</v>
      </c>
      <c r="W33" s="44" t="str">
        <f t="shared" si="0"/>
        <v>W</v>
      </c>
      <c r="X33" s="44"/>
      <c r="Y33" s="44"/>
      <c r="Z33" s="44"/>
      <c r="AA33" s="44"/>
      <c r="AB33" s="99">
        <v>14</v>
      </c>
      <c r="AC33" s="99" t="str">
        <f t="shared" si="14"/>
        <v>W</v>
      </c>
      <c r="AD33" s="304" t="s">
        <v>29</v>
      </c>
      <c r="AE33" s="304" t="s">
        <v>29</v>
      </c>
      <c r="AF33" s="100">
        <f t="shared" si="15"/>
        <v>112</v>
      </c>
      <c r="AG33" s="101">
        <f t="shared" si="16"/>
        <v>10.1818181818182</v>
      </c>
      <c r="AH33" s="100">
        <f t="shared" si="17"/>
        <v>33</v>
      </c>
      <c r="AI33" s="36">
        <f t="shared" si="18"/>
        <v>0</v>
      </c>
      <c r="AJ33" s="36">
        <f t="shared" si="2"/>
        <v>0</v>
      </c>
      <c r="AK33" s="36">
        <f t="shared" si="3"/>
        <v>0</v>
      </c>
      <c r="AL33" s="36">
        <f t="shared" si="4"/>
        <v>0</v>
      </c>
      <c r="AM33" s="36">
        <f t="shared" si="19"/>
        <v>11</v>
      </c>
      <c r="AN33" s="37">
        <f t="shared" si="20"/>
        <v>1</v>
      </c>
    </row>
    <row r="34" ht="13.9" customHeight="1" spans="1:40">
      <c r="A34" s="39">
        <v>27</v>
      </c>
      <c r="B34" s="320" t="s">
        <v>245</v>
      </c>
      <c r="C34" s="184" t="s">
        <v>219</v>
      </c>
      <c r="D34" s="49">
        <v>80</v>
      </c>
      <c r="E34" s="29" t="str">
        <f t="shared" si="5"/>
        <v>A</v>
      </c>
      <c r="F34" s="49">
        <v>33</v>
      </c>
      <c r="G34" s="49" t="str">
        <f t="shared" si="6"/>
        <v>W</v>
      </c>
      <c r="H34" s="41">
        <v>87</v>
      </c>
      <c r="I34" s="41" t="str">
        <f t="shared" si="7"/>
        <v>A</v>
      </c>
      <c r="J34" s="41">
        <v>72</v>
      </c>
      <c r="K34" s="41" t="str">
        <f t="shared" si="8"/>
        <v>B</v>
      </c>
      <c r="L34" s="41">
        <v>51</v>
      </c>
      <c r="M34" s="41" t="str">
        <f t="shared" si="9"/>
        <v>C</v>
      </c>
      <c r="N34" s="41">
        <v>80</v>
      </c>
      <c r="O34" s="293" t="str">
        <f t="shared" si="10"/>
        <v>A</v>
      </c>
      <c r="P34" s="43">
        <v>92</v>
      </c>
      <c r="Q34" s="43" t="str">
        <f t="shared" si="11"/>
        <v>A</v>
      </c>
      <c r="R34" s="43">
        <v>82</v>
      </c>
      <c r="S34" s="43" t="str">
        <f t="shared" si="12"/>
        <v>A</v>
      </c>
      <c r="T34" s="309">
        <v>65</v>
      </c>
      <c r="U34" s="43" t="str">
        <f t="shared" si="13"/>
        <v>B</v>
      </c>
      <c r="V34" s="44"/>
      <c r="W34" s="44"/>
      <c r="X34" s="44">
        <v>72</v>
      </c>
      <c r="Y34" s="44" t="str">
        <f t="shared" si="22"/>
        <v>B</v>
      </c>
      <c r="Z34" s="44"/>
      <c r="AA34" s="44"/>
      <c r="AB34" s="99">
        <v>60</v>
      </c>
      <c r="AC34" s="99" t="str">
        <f t="shared" si="14"/>
        <v>C</v>
      </c>
      <c r="AD34" s="99">
        <v>85</v>
      </c>
      <c r="AE34" s="99" t="str">
        <f t="shared" si="1"/>
        <v>A</v>
      </c>
      <c r="AF34" s="100">
        <f t="shared" si="15"/>
        <v>859</v>
      </c>
      <c r="AG34" s="101">
        <f t="shared" si="16"/>
        <v>71.5833333333333</v>
      </c>
      <c r="AH34" s="100">
        <f t="shared" si="17"/>
        <v>3</v>
      </c>
      <c r="AI34" s="36">
        <f t="shared" si="18"/>
        <v>6</v>
      </c>
      <c r="AJ34" s="36">
        <f t="shared" si="2"/>
        <v>3</v>
      </c>
      <c r="AK34" s="36">
        <f t="shared" si="3"/>
        <v>2</v>
      </c>
      <c r="AL34" s="36">
        <f t="shared" si="4"/>
        <v>0</v>
      </c>
      <c r="AM34" s="36">
        <f t="shared" si="19"/>
        <v>1</v>
      </c>
      <c r="AN34" s="37">
        <f t="shared" si="20"/>
        <v>0</v>
      </c>
    </row>
    <row r="35" ht="13.9" customHeight="1" spans="1:40">
      <c r="A35" s="24">
        <v>28</v>
      </c>
      <c r="B35" s="320" t="s">
        <v>246</v>
      </c>
      <c r="C35" s="184" t="s">
        <v>219</v>
      </c>
      <c r="D35" s="49">
        <v>43</v>
      </c>
      <c r="E35" s="29" t="str">
        <f t="shared" si="5"/>
        <v>S</v>
      </c>
      <c r="F35" s="41">
        <v>6</v>
      </c>
      <c r="G35" s="49" t="str">
        <f t="shared" si="6"/>
        <v>W</v>
      </c>
      <c r="H35" s="41">
        <v>59</v>
      </c>
      <c r="I35" s="41" t="str">
        <f t="shared" si="7"/>
        <v>C</v>
      </c>
      <c r="J35" s="41">
        <v>36</v>
      </c>
      <c r="K35" s="41" t="str">
        <f t="shared" si="8"/>
        <v>W</v>
      </c>
      <c r="L35" s="49">
        <v>32</v>
      </c>
      <c r="M35" s="41" t="str">
        <f t="shared" si="9"/>
        <v>W</v>
      </c>
      <c r="N35" s="49">
        <v>22</v>
      </c>
      <c r="O35" s="293" t="str">
        <f t="shared" si="10"/>
        <v>W</v>
      </c>
      <c r="P35" s="43">
        <v>60</v>
      </c>
      <c r="Q35" s="43" t="str">
        <f t="shared" si="11"/>
        <v>C</v>
      </c>
      <c r="R35" s="43">
        <v>27</v>
      </c>
      <c r="S35" s="43" t="str">
        <f t="shared" si="12"/>
        <v>W</v>
      </c>
      <c r="T35" s="309">
        <v>36</v>
      </c>
      <c r="U35" s="43" t="str">
        <f t="shared" si="13"/>
        <v>W</v>
      </c>
      <c r="V35" s="44"/>
      <c r="W35" s="44"/>
      <c r="X35" s="44">
        <v>52</v>
      </c>
      <c r="Y35" s="44" t="str">
        <f t="shared" si="22"/>
        <v>C</v>
      </c>
      <c r="Z35" s="44"/>
      <c r="AA35" s="44"/>
      <c r="AB35" s="99">
        <v>40</v>
      </c>
      <c r="AC35" s="99" t="str">
        <f t="shared" si="14"/>
        <v>S</v>
      </c>
      <c r="AD35" s="99">
        <v>45</v>
      </c>
      <c r="AE35" s="99" t="str">
        <f t="shared" si="1"/>
        <v>S</v>
      </c>
      <c r="AF35" s="100">
        <f t="shared" si="15"/>
        <v>458</v>
      </c>
      <c r="AG35" s="101">
        <f t="shared" si="16"/>
        <v>38.1666666666667</v>
      </c>
      <c r="AH35" s="100">
        <f t="shared" si="17"/>
        <v>17</v>
      </c>
      <c r="AI35" s="36">
        <f t="shared" si="18"/>
        <v>0</v>
      </c>
      <c r="AJ35" s="36">
        <f t="shared" si="2"/>
        <v>0</v>
      </c>
      <c r="AK35" s="36">
        <f t="shared" si="3"/>
        <v>3</v>
      </c>
      <c r="AL35" s="36">
        <f t="shared" si="4"/>
        <v>3</v>
      </c>
      <c r="AM35" s="36">
        <f t="shared" si="19"/>
        <v>6</v>
      </c>
      <c r="AN35" s="37">
        <f t="shared" si="20"/>
        <v>0</v>
      </c>
    </row>
    <row r="36" ht="13.9" customHeight="1" spans="1:40">
      <c r="A36" s="39">
        <v>29</v>
      </c>
      <c r="B36" s="320" t="s">
        <v>247</v>
      </c>
      <c r="C36" s="184" t="s">
        <v>219</v>
      </c>
      <c r="D36" s="49">
        <v>45</v>
      </c>
      <c r="E36" s="29" t="str">
        <f t="shared" si="5"/>
        <v>S</v>
      </c>
      <c r="F36" s="49">
        <v>18</v>
      </c>
      <c r="G36" s="49" t="str">
        <f t="shared" si="6"/>
        <v>W</v>
      </c>
      <c r="H36" s="41">
        <v>49</v>
      </c>
      <c r="I36" s="41" t="str">
        <f t="shared" si="7"/>
        <v>S</v>
      </c>
      <c r="J36" s="41">
        <v>46</v>
      </c>
      <c r="K36" s="41" t="str">
        <f t="shared" si="8"/>
        <v>S</v>
      </c>
      <c r="L36" s="49">
        <v>29</v>
      </c>
      <c r="M36" s="41" t="str">
        <f t="shared" si="9"/>
        <v>W</v>
      </c>
      <c r="N36" s="41">
        <v>33</v>
      </c>
      <c r="O36" s="293" t="str">
        <f t="shared" si="10"/>
        <v>W</v>
      </c>
      <c r="P36" s="43">
        <v>61</v>
      </c>
      <c r="Q36" s="43" t="str">
        <f t="shared" si="11"/>
        <v>C</v>
      </c>
      <c r="R36" s="43">
        <v>34</v>
      </c>
      <c r="S36" s="43" t="str">
        <f t="shared" si="12"/>
        <v>W</v>
      </c>
      <c r="T36" s="309">
        <v>32</v>
      </c>
      <c r="U36" s="43" t="str">
        <f t="shared" si="13"/>
        <v>W</v>
      </c>
      <c r="V36" s="44">
        <v>48</v>
      </c>
      <c r="W36" s="44" t="str">
        <f t="shared" si="0"/>
        <v>S</v>
      </c>
      <c r="X36" s="44"/>
      <c r="Y36" s="44"/>
      <c r="Z36" s="44"/>
      <c r="AA36" s="44"/>
      <c r="AB36" s="99">
        <v>36</v>
      </c>
      <c r="AC36" s="99" t="str">
        <f t="shared" si="14"/>
        <v>W</v>
      </c>
      <c r="AD36" s="99">
        <v>50</v>
      </c>
      <c r="AE36" s="99" t="str">
        <f t="shared" si="1"/>
        <v>C</v>
      </c>
      <c r="AF36" s="100">
        <f t="shared" si="15"/>
        <v>481</v>
      </c>
      <c r="AG36" s="101">
        <f t="shared" si="16"/>
        <v>40.0833333333333</v>
      </c>
      <c r="AH36" s="100">
        <f t="shared" si="17"/>
        <v>16</v>
      </c>
      <c r="AI36" s="36">
        <f t="shared" si="18"/>
        <v>0</v>
      </c>
      <c r="AJ36" s="36">
        <f t="shared" si="2"/>
        <v>0</v>
      </c>
      <c r="AK36" s="36">
        <f t="shared" si="3"/>
        <v>2</v>
      </c>
      <c r="AL36" s="36">
        <f t="shared" si="4"/>
        <v>4</v>
      </c>
      <c r="AM36" s="36">
        <f t="shared" si="19"/>
        <v>6</v>
      </c>
      <c r="AN36" s="37">
        <f t="shared" si="20"/>
        <v>0</v>
      </c>
    </row>
    <row r="37" ht="13.9" customHeight="1" spans="1:40">
      <c r="A37" s="24">
        <v>30</v>
      </c>
      <c r="B37" s="320" t="s">
        <v>248</v>
      </c>
      <c r="C37" s="184" t="s">
        <v>219</v>
      </c>
      <c r="D37" s="49">
        <v>64</v>
      </c>
      <c r="E37" s="29" t="str">
        <f t="shared" si="5"/>
        <v>C</v>
      </c>
      <c r="F37" s="41">
        <v>44</v>
      </c>
      <c r="G37" s="49" t="str">
        <f t="shared" si="6"/>
        <v>S</v>
      </c>
      <c r="H37" s="41">
        <v>59</v>
      </c>
      <c r="I37" s="41" t="str">
        <f t="shared" si="7"/>
        <v>C</v>
      </c>
      <c r="J37" s="41">
        <v>41</v>
      </c>
      <c r="K37" s="41" t="str">
        <f t="shared" si="8"/>
        <v>S</v>
      </c>
      <c r="L37" s="41">
        <v>44</v>
      </c>
      <c r="M37" s="41" t="str">
        <f t="shared" si="9"/>
        <v>S</v>
      </c>
      <c r="N37" s="41">
        <v>46</v>
      </c>
      <c r="O37" s="293" t="str">
        <f t="shared" si="10"/>
        <v>S</v>
      </c>
      <c r="P37" s="43">
        <v>82</v>
      </c>
      <c r="Q37" s="43" t="str">
        <f t="shared" si="11"/>
        <v>A</v>
      </c>
      <c r="R37" s="43">
        <v>63</v>
      </c>
      <c r="S37" s="43" t="str">
        <f t="shared" si="12"/>
        <v>C</v>
      </c>
      <c r="T37" s="309">
        <v>55</v>
      </c>
      <c r="U37" s="43" t="str">
        <f t="shared" si="13"/>
        <v>C</v>
      </c>
      <c r="V37" s="44"/>
      <c r="W37" s="44"/>
      <c r="X37" s="44">
        <v>76</v>
      </c>
      <c r="Y37" s="44" t="str">
        <f t="shared" si="22"/>
        <v>A</v>
      </c>
      <c r="Z37" s="44"/>
      <c r="AA37" s="44"/>
      <c r="AB37" s="99">
        <v>90</v>
      </c>
      <c r="AC37" s="99" t="str">
        <f t="shared" si="14"/>
        <v>A</v>
      </c>
      <c r="AD37" s="99">
        <v>98</v>
      </c>
      <c r="AE37" s="99" t="str">
        <f t="shared" si="1"/>
        <v>A</v>
      </c>
      <c r="AF37" s="100">
        <f t="shared" si="15"/>
        <v>762</v>
      </c>
      <c r="AG37" s="101">
        <f t="shared" si="16"/>
        <v>63.5</v>
      </c>
      <c r="AH37" s="100">
        <f t="shared" si="17"/>
        <v>4</v>
      </c>
      <c r="AI37" s="36">
        <f t="shared" si="18"/>
        <v>4</v>
      </c>
      <c r="AJ37" s="36">
        <f t="shared" si="2"/>
        <v>0</v>
      </c>
      <c r="AK37" s="36">
        <f t="shared" si="3"/>
        <v>4</v>
      </c>
      <c r="AL37" s="36">
        <f t="shared" si="4"/>
        <v>4</v>
      </c>
      <c r="AM37" s="36">
        <f t="shared" si="19"/>
        <v>0</v>
      </c>
      <c r="AN37" s="37">
        <f t="shared" si="20"/>
        <v>0</v>
      </c>
    </row>
    <row r="38" ht="13.9" customHeight="1" spans="1:40">
      <c r="A38" s="39">
        <v>31</v>
      </c>
      <c r="B38" s="320" t="s">
        <v>249</v>
      </c>
      <c r="C38" s="184" t="s">
        <v>219</v>
      </c>
      <c r="D38" s="49">
        <v>34</v>
      </c>
      <c r="E38" s="29" t="str">
        <f t="shared" si="5"/>
        <v>W</v>
      </c>
      <c r="F38" s="49">
        <v>18</v>
      </c>
      <c r="G38" s="49" t="str">
        <f t="shared" si="6"/>
        <v>W</v>
      </c>
      <c r="H38" s="41">
        <v>55</v>
      </c>
      <c r="I38" s="41" t="str">
        <f t="shared" si="7"/>
        <v>C</v>
      </c>
      <c r="J38" s="41">
        <v>46</v>
      </c>
      <c r="K38" s="41" t="str">
        <f t="shared" si="8"/>
        <v>S</v>
      </c>
      <c r="L38" s="41">
        <v>51</v>
      </c>
      <c r="M38" s="41" t="str">
        <f t="shared" si="9"/>
        <v>C</v>
      </c>
      <c r="N38" s="49">
        <v>33</v>
      </c>
      <c r="O38" s="293" t="str">
        <f t="shared" si="10"/>
        <v>W</v>
      </c>
      <c r="P38" s="43">
        <v>65</v>
      </c>
      <c r="Q38" s="43" t="str">
        <f t="shared" si="11"/>
        <v>B</v>
      </c>
      <c r="R38" s="43">
        <v>47</v>
      </c>
      <c r="S38" s="43" t="str">
        <f t="shared" si="12"/>
        <v>S</v>
      </c>
      <c r="T38" s="43">
        <v>28</v>
      </c>
      <c r="U38" s="43" t="str">
        <f t="shared" si="13"/>
        <v>W</v>
      </c>
      <c r="V38" s="44"/>
      <c r="W38" s="44"/>
      <c r="X38" s="44">
        <v>59</v>
      </c>
      <c r="Y38" s="44" t="str">
        <f t="shared" si="22"/>
        <v>C</v>
      </c>
      <c r="Z38" s="44"/>
      <c r="AA38" s="44"/>
      <c r="AB38" s="99">
        <v>41</v>
      </c>
      <c r="AC38" s="99" t="str">
        <f t="shared" si="14"/>
        <v>S</v>
      </c>
      <c r="AD38" s="99">
        <v>97</v>
      </c>
      <c r="AE38" s="99" t="str">
        <f t="shared" si="1"/>
        <v>A</v>
      </c>
      <c r="AF38" s="100">
        <f t="shared" si="15"/>
        <v>574</v>
      </c>
      <c r="AG38" s="101">
        <f t="shared" si="16"/>
        <v>47.8333333333333</v>
      </c>
      <c r="AH38" s="100">
        <f t="shared" si="17"/>
        <v>11</v>
      </c>
      <c r="AI38" s="36">
        <f t="shared" si="18"/>
        <v>1</v>
      </c>
      <c r="AJ38" s="36">
        <f t="shared" si="2"/>
        <v>1</v>
      </c>
      <c r="AK38" s="36">
        <f t="shared" si="3"/>
        <v>3</v>
      </c>
      <c r="AL38" s="36">
        <f t="shared" si="4"/>
        <v>3</v>
      </c>
      <c r="AM38" s="36">
        <f t="shared" si="19"/>
        <v>4</v>
      </c>
      <c r="AN38" s="37">
        <f t="shared" si="20"/>
        <v>0</v>
      </c>
    </row>
    <row r="39" ht="13.9" customHeight="1" spans="1:40">
      <c r="A39" s="24">
        <v>32</v>
      </c>
      <c r="B39" s="320" t="s">
        <v>250</v>
      </c>
      <c r="C39" s="184" t="s">
        <v>219</v>
      </c>
      <c r="D39" s="49">
        <v>19</v>
      </c>
      <c r="E39" s="50" t="str">
        <f t="shared" si="5"/>
        <v>W</v>
      </c>
      <c r="F39" s="49">
        <v>7</v>
      </c>
      <c r="G39" s="49" t="str">
        <f t="shared" si="6"/>
        <v>W</v>
      </c>
      <c r="H39" s="49">
        <v>49</v>
      </c>
      <c r="I39" s="49" t="str">
        <f t="shared" si="7"/>
        <v>S</v>
      </c>
      <c r="J39" s="49">
        <v>31</v>
      </c>
      <c r="K39" s="49" t="str">
        <f t="shared" si="8"/>
        <v>W</v>
      </c>
      <c r="L39" s="49">
        <v>36</v>
      </c>
      <c r="M39" s="49" t="str">
        <f t="shared" si="9"/>
        <v>W</v>
      </c>
      <c r="N39" s="49">
        <v>24</v>
      </c>
      <c r="O39" s="293" t="str">
        <f t="shared" si="10"/>
        <v>W</v>
      </c>
      <c r="P39" s="309">
        <v>54</v>
      </c>
      <c r="Q39" s="309" t="str">
        <f t="shared" si="11"/>
        <v>C</v>
      </c>
      <c r="R39" s="309">
        <v>30</v>
      </c>
      <c r="S39" s="43" t="str">
        <f t="shared" si="12"/>
        <v>W</v>
      </c>
      <c r="T39" s="43">
        <v>30</v>
      </c>
      <c r="U39" s="43" t="str">
        <f t="shared" si="13"/>
        <v>W</v>
      </c>
      <c r="V39" s="44"/>
      <c r="W39" s="44"/>
      <c r="X39" s="44">
        <v>47</v>
      </c>
      <c r="Y39" s="44" t="str">
        <f t="shared" si="22"/>
        <v>S</v>
      </c>
      <c r="Z39" s="44"/>
      <c r="AA39" s="44"/>
      <c r="AB39" s="99">
        <v>41</v>
      </c>
      <c r="AC39" s="99" t="str">
        <f t="shared" si="14"/>
        <v>S</v>
      </c>
      <c r="AD39" s="99">
        <v>45</v>
      </c>
      <c r="AE39" s="99" t="str">
        <f t="shared" si="1"/>
        <v>S</v>
      </c>
      <c r="AF39" s="100">
        <f t="shared" si="15"/>
        <v>413</v>
      </c>
      <c r="AG39" s="101">
        <f t="shared" si="16"/>
        <v>34.4166666666667</v>
      </c>
      <c r="AH39" s="100">
        <f t="shared" si="17"/>
        <v>20</v>
      </c>
      <c r="AI39" s="36">
        <f t="shared" si="18"/>
        <v>0</v>
      </c>
      <c r="AJ39" s="36">
        <f t="shared" si="2"/>
        <v>0</v>
      </c>
      <c r="AK39" s="36">
        <f t="shared" si="3"/>
        <v>1</v>
      </c>
      <c r="AL39" s="36">
        <f t="shared" si="4"/>
        <v>4</v>
      </c>
      <c r="AM39" s="36">
        <f t="shared" si="19"/>
        <v>7</v>
      </c>
      <c r="AN39" s="37">
        <f t="shared" si="20"/>
        <v>0</v>
      </c>
    </row>
    <row r="40" ht="13.9" customHeight="1" spans="1:40">
      <c r="A40" s="39">
        <v>33</v>
      </c>
      <c r="B40" s="320" t="s">
        <v>251</v>
      </c>
      <c r="C40" s="184" t="s">
        <v>219</v>
      </c>
      <c r="D40" s="46" t="s">
        <v>29</v>
      </c>
      <c r="E40" s="46" t="s">
        <v>29</v>
      </c>
      <c r="F40" s="46" t="s">
        <v>29</v>
      </c>
      <c r="G40" s="46" t="s">
        <v>29</v>
      </c>
      <c r="H40" s="46" t="s">
        <v>29</v>
      </c>
      <c r="I40" s="46" t="s">
        <v>29</v>
      </c>
      <c r="J40" s="46" t="s">
        <v>29</v>
      </c>
      <c r="K40" s="46" t="s">
        <v>29</v>
      </c>
      <c r="L40" s="41">
        <v>35</v>
      </c>
      <c r="M40" s="41" t="str">
        <f t="shared" si="9"/>
        <v>W</v>
      </c>
      <c r="N40" s="42" t="s">
        <v>29</v>
      </c>
      <c r="O40" s="42" t="s">
        <v>29</v>
      </c>
      <c r="P40" s="42" t="s">
        <v>29</v>
      </c>
      <c r="Q40" s="42" t="s">
        <v>29</v>
      </c>
      <c r="R40" s="42" t="s">
        <v>29</v>
      </c>
      <c r="S40" s="42" t="s">
        <v>29</v>
      </c>
      <c r="T40" s="42" t="s">
        <v>29</v>
      </c>
      <c r="U40" s="42" t="s">
        <v>29</v>
      </c>
      <c r="V40" s="44"/>
      <c r="W40" s="44"/>
      <c r="X40" s="86" t="s">
        <v>29</v>
      </c>
      <c r="Y40" s="86" t="s">
        <v>29</v>
      </c>
      <c r="Z40" s="44"/>
      <c r="AA40" s="44"/>
      <c r="AB40" s="304" t="s">
        <v>29</v>
      </c>
      <c r="AC40" s="304" t="s">
        <v>29</v>
      </c>
      <c r="AD40" s="99">
        <v>87</v>
      </c>
      <c r="AE40" s="99" t="str">
        <f t="shared" si="1"/>
        <v>A</v>
      </c>
      <c r="AF40" s="100">
        <f t="shared" si="15"/>
        <v>122</v>
      </c>
      <c r="AG40" s="101">
        <f t="shared" si="16"/>
        <v>61</v>
      </c>
      <c r="AH40" s="100">
        <f t="shared" si="17"/>
        <v>32</v>
      </c>
      <c r="AI40" s="36">
        <f t="shared" si="18"/>
        <v>1</v>
      </c>
      <c r="AJ40" s="36">
        <f t="shared" si="2"/>
        <v>0</v>
      </c>
      <c r="AK40" s="36">
        <f t="shared" si="3"/>
        <v>0</v>
      </c>
      <c r="AL40" s="36">
        <f t="shared" si="4"/>
        <v>0</v>
      </c>
      <c r="AM40" s="36">
        <f t="shared" si="19"/>
        <v>1</v>
      </c>
      <c r="AN40" s="37">
        <f t="shared" si="20"/>
        <v>10</v>
      </c>
    </row>
    <row r="41" ht="13.9" customHeight="1" spans="1:40">
      <c r="A41" s="24">
        <v>34</v>
      </c>
      <c r="B41" s="320" t="s">
        <v>252</v>
      </c>
      <c r="C41" s="184" t="s">
        <v>219</v>
      </c>
      <c r="D41" s="49">
        <v>49</v>
      </c>
      <c r="E41" s="29" t="str">
        <f t="shared" si="5"/>
        <v>S</v>
      </c>
      <c r="F41" s="41">
        <v>36</v>
      </c>
      <c r="G41" s="49" t="str">
        <f t="shared" si="6"/>
        <v>W</v>
      </c>
      <c r="H41" s="41">
        <v>59</v>
      </c>
      <c r="I41" s="41" t="str">
        <f t="shared" si="7"/>
        <v>C</v>
      </c>
      <c r="J41" s="41">
        <v>56</v>
      </c>
      <c r="K41" s="41" t="str">
        <f t="shared" si="8"/>
        <v>C</v>
      </c>
      <c r="L41" s="41">
        <v>68</v>
      </c>
      <c r="M41" s="41" t="str">
        <f t="shared" si="9"/>
        <v>B</v>
      </c>
      <c r="N41" s="41">
        <v>44</v>
      </c>
      <c r="O41" s="293" t="str">
        <f t="shared" si="10"/>
        <v>S</v>
      </c>
      <c r="P41" s="43">
        <v>76</v>
      </c>
      <c r="Q41" s="43" t="str">
        <f t="shared" si="11"/>
        <v>A</v>
      </c>
      <c r="R41" s="309">
        <v>59</v>
      </c>
      <c r="S41" s="43" t="str">
        <f t="shared" si="12"/>
        <v>C</v>
      </c>
      <c r="T41" s="43">
        <v>42</v>
      </c>
      <c r="U41" s="43" t="str">
        <f t="shared" si="13"/>
        <v>S</v>
      </c>
      <c r="V41" s="44"/>
      <c r="W41" s="44"/>
      <c r="X41" s="44"/>
      <c r="Y41" s="44"/>
      <c r="Z41" s="351">
        <v>77</v>
      </c>
      <c r="AA41" s="44" t="str">
        <f t="shared" si="21"/>
        <v>A</v>
      </c>
      <c r="AB41" s="99">
        <v>56</v>
      </c>
      <c r="AC41" s="99" t="str">
        <f t="shared" si="14"/>
        <v>C</v>
      </c>
      <c r="AD41" s="99">
        <v>45</v>
      </c>
      <c r="AE41" s="99" t="str">
        <f t="shared" si="1"/>
        <v>S</v>
      </c>
      <c r="AF41" s="100">
        <f t="shared" si="15"/>
        <v>667</v>
      </c>
      <c r="AG41" s="101">
        <f t="shared" si="16"/>
        <v>55.5833333333333</v>
      </c>
      <c r="AH41" s="100">
        <f t="shared" si="17"/>
        <v>8</v>
      </c>
      <c r="AI41" s="36">
        <f t="shared" si="18"/>
        <v>2</v>
      </c>
      <c r="AJ41" s="36">
        <f t="shared" si="2"/>
        <v>1</v>
      </c>
      <c r="AK41" s="36">
        <f t="shared" si="3"/>
        <v>4</v>
      </c>
      <c r="AL41" s="36">
        <f t="shared" si="4"/>
        <v>4</v>
      </c>
      <c r="AM41" s="36">
        <f t="shared" si="19"/>
        <v>1</v>
      </c>
      <c r="AN41" s="37">
        <f t="shared" si="20"/>
        <v>0</v>
      </c>
    </row>
    <row r="42" ht="10.9" customHeight="1" spans="1:40">
      <c r="A42" s="215" t="s">
        <v>62</v>
      </c>
      <c r="B42" s="216"/>
      <c r="C42" s="143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58"/>
      <c r="AG42" s="58"/>
      <c r="AH42" s="58"/>
      <c r="AM42" s="59"/>
      <c r="AN42" s="60"/>
    </row>
    <row r="43" ht="10.9" customHeight="1" spans="1:40">
      <c r="A43" s="215" t="s">
        <v>63</v>
      </c>
      <c r="B43" s="216"/>
      <c r="C43" s="146" t="s">
        <v>24</v>
      </c>
      <c r="D43" s="209"/>
      <c r="E43" s="219">
        <f>COUNTIF(E8:E41,"A")</f>
        <v>3</v>
      </c>
      <c r="F43" s="209"/>
      <c r="G43" s="219">
        <f>COUNTIF(G8:G41,"A")</f>
        <v>1</v>
      </c>
      <c r="H43" s="209"/>
      <c r="I43" s="219">
        <f>COUNTIF(I8:I41,"A")</f>
        <v>4</v>
      </c>
      <c r="J43" s="209"/>
      <c r="K43" s="219">
        <f>COUNTIF(K8:K41,"A")</f>
        <v>2</v>
      </c>
      <c r="L43" s="219"/>
      <c r="M43" s="219">
        <f>COUNTIF(M8:M41,"A")</f>
        <v>1</v>
      </c>
      <c r="N43" s="219"/>
      <c r="O43" s="219">
        <f>COUNTIF(O8:O41,"A")</f>
        <v>2</v>
      </c>
      <c r="P43" s="219"/>
      <c r="Q43" s="219">
        <f>COUNTIF(Q8:Q41,"A")</f>
        <v>5</v>
      </c>
      <c r="R43" s="209"/>
      <c r="S43" s="219">
        <f>COUNTIF(S8:S41,"A")</f>
        <v>4</v>
      </c>
      <c r="T43" s="209"/>
      <c r="U43" s="219">
        <f>COUNTIF(U8:U41,"A")</f>
        <v>0</v>
      </c>
      <c r="V43" s="209"/>
      <c r="W43" s="219">
        <f>COUNTIF(W8:W41,"A")</f>
        <v>1</v>
      </c>
      <c r="X43" s="209"/>
      <c r="Y43" s="219">
        <f>COUNTIF(Y8:Y41,"A")</f>
        <v>2</v>
      </c>
      <c r="Z43" s="209"/>
      <c r="AA43" s="219">
        <f>COUNTIF(AA8:AA41,"A")</f>
        <v>1</v>
      </c>
      <c r="AB43" s="209"/>
      <c r="AC43" s="219">
        <f>COUNTIF(AC8:AC41,"A")</f>
        <v>4</v>
      </c>
      <c r="AD43" s="209"/>
      <c r="AE43" s="219">
        <f>COUNTIF(AE8:AE41,"A")</f>
        <v>12</v>
      </c>
      <c r="AF43" s="64"/>
      <c r="AG43" s="64"/>
      <c r="AH43" s="64"/>
      <c r="AM43" s="59"/>
      <c r="AN43" s="60"/>
    </row>
    <row r="44" ht="10.9" customHeight="1" spans="1:40">
      <c r="A44" s="215" t="s">
        <v>64</v>
      </c>
      <c r="B44" s="216"/>
      <c r="C44" s="143" t="s">
        <v>25</v>
      </c>
      <c r="D44" s="209"/>
      <c r="E44" s="219">
        <f>COUNTIF(E8:E41,"B")</f>
        <v>2</v>
      </c>
      <c r="F44" s="209"/>
      <c r="G44" s="219">
        <f>COUNTIF(G8:G41,"B")</f>
        <v>0</v>
      </c>
      <c r="H44" s="209"/>
      <c r="I44" s="219">
        <f>COUNTIF(I8:I41,"B")</f>
        <v>1</v>
      </c>
      <c r="J44" s="209"/>
      <c r="K44" s="219">
        <f>COUNTIF(K8:K41,"B")</f>
        <v>1</v>
      </c>
      <c r="L44" s="209"/>
      <c r="M44" s="219">
        <f>COUNTIF(M8:M41,"B")</f>
        <v>3</v>
      </c>
      <c r="N44" s="209"/>
      <c r="O44" s="219">
        <f>COUNTIF(O8:O41,"B")</f>
        <v>0</v>
      </c>
      <c r="P44" s="209"/>
      <c r="Q44" s="219">
        <f>COUNTIF(Q8:Q41,"B")</f>
        <v>6</v>
      </c>
      <c r="R44" s="209"/>
      <c r="S44" s="219">
        <f>COUNTIF(S8:S41,"B")</f>
        <v>2</v>
      </c>
      <c r="T44" s="209"/>
      <c r="U44" s="219">
        <f>COUNTIF(U8:U41,"B")</f>
        <v>1</v>
      </c>
      <c r="V44" s="209"/>
      <c r="W44" s="219">
        <f>COUNTIF(W8:W41,"B")</f>
        <v>1</v>
      </c>
      <c r="X44" s="209"/>
      <c r="Y44" s="219">
        <f>COUNTIF(Y8:Y41,"B")</f>
        <v>3</v>
      </c>
      <c r="Z44" s="209"/>
      <c r="AA44" s="219">
        <f>COUNTIF(AA8:AA41,"B")</f>
        <v>0</v>
      </c>
      <c r="AB44" s="209"/>
      <c r="AC44" s="219">
        <f>COUNTIF(AC8:AC41,"B")</f>
        <v>3</v>
      </c>
      <c r="AD44" s="209"/>
      <c r="AE44" s="219">
        <f>COUNTIF(AE8:AE41,"B")</f>
        <v>1</v>
      </c>
      <c r="AF44" s="64"/>
      <c r="AG44" s="64"/>
      <c r="AH44" s="64"/>
      <c r="AN44" s="2"/>
    </row>
    <row r="45" ht="10.9" customHeight="1" spans="1:40">
      <c r="A45" s="215" t="s">
        <v>65</v>
      </c>
      <c r="B45" s="216"/>
      <c r="C45" s="143" t="s">
        <v>26</v>
      </c>
      <c r="D45" s="209"/>
      <c r="E45" s="219">
        <f>COUNTIF(E8:E41,"C")</f>
        <v>5</v>
      </c>
      <c r="F45" s="209"/>
      <c r="G45" s="219">
        <f>COUNTIF(G8:G41,"C")</f>
        <v>2</v>
      </c>
      <c r="H45" s="209"/>
      <c r="I45" s="219">
        <f>COUNTIF(I8:I41,"C")</f>
        <v>7</v>
      </c>
      <c r="J45" s="209"/>
      <c r="K45" s="219">
        <f>COUNTIF(K8:K41,"C")</f>
        <v>5</v>
      </c>
      <c r="L45" s="209"/>
      <c r="M45" s="219">
        <f>COUNTIF(M8:M41,"C")</f>
        <v>7</v>
      </c>
      <c r="N45" s="209"/>
      <c r="O45" s="219">
        <f>COUNTIF(O8:O41,"C")</f>
        <v>4</v>
      </c>
      <c r="P45" s="209"/>
      <c r="Q45" s="219">
        <f>COUNTIF(Q8:Q41,"C")</f>
        <v>10</v>
      </c>
      <c r="R45" s="209"/>
      <c r="S45" s="219">
        <f>COUNTIF(S8:S41,"C")</f>
        <v>8</v>
      </c>
      <c r="T45" s="209"/>
      <c r="U45" s="219">
        <f>COUNTIF(U8:U41,"C")</f>
        <v>5</v>
      </c>
      <c r="V45" s="209"/>
      <c r="W45" s="219">
        <f>COUNTIF(W8:W41,"C")</f>
        <v>1</v>
      </c>
      <c r="X45" s="209"/>
      <c r="Y45" s="219">
        <f>COUNTIF(Y8:Y41,"C")</f>
        <v>4</v>
      </c>
      <c r="Z45" s="209"/>
      <c r="AA45" s="219">
        <f>COUNTIF(AA8:AA41,"C")</f>
        <v>1</v>
      </c>
      <c r="AB45" s="209"/>
      <c r="AC45" s="219">
        <f>COUNTIF(AC8:AC41,"C")</f>
        <v>8</v>
      </c>
      <c r="AD45" s="209"/>
      <c r="AE45" s="219">
        <f>COUNTIF(AE8:AE41,"C")</f>
        <v>4</v>
      </c>
      <c r="AF45" s="64"/>
      <c r="AG45" s="64"/>
      <c r="AH45" s="64"/>
      <c r="AN45" s="2"/>
    </row>
    <row r="46" ht="10.9" customHeight="1" spans="1:40">
      <c r="A46" s="215" t="s">
        <v>66</v>
      </c>
      <c r="B46" s="216"/>
      <c r="C46" s="143" t="s">
        <v>27</v>
      </c>
      <c r="D46" s="209"/>
      <c r="E46" s="219">
        <f>COUNTIF(E8:E41,"S")</f>
        <v>6</v>
      </c>
      <c r="F46" s="209"/>
      <c r="G46" s="219">
        <f>COUNTIF(G8:G41,"S")</f>
        <v>3</v>
      </c>
      <c r="H46" s="209"/>
      <c r="I46" s="219">
        <f>COUNTIF(I8:I41,"S")</f>
        <v>6</v>
      </c>
      <c r="J46" s="209"/>
      <c r="K46" s="219">
        <f>COUNTIF(K8:K41,"S")</f>
        <v>4</v>
      </c>
      <c r="L46" s="209"/>
      <c r="M46" s="219">
        <f>COUNTIF(M8:M41,"S")</f>
        <v>6</v>
      </c>
      <c r="N46" s="209"/>
      <c r="O46" s="219">
        <f>COUNTIF(O8:O41,"S")</f>
        <v>7</v>
      </c>
      <c r="P46" s="209"/>
      <c r="Q46" s="219">
        <f>COUNTIF(Q8:Q41,"S")</f>
        <v>1</v>
      </c>
      <c r="R46" s="209"/>
      <c r="S46" s="219">
        <f>COUNTIF(S8:S41,"S")</f>
        <v>5</v>
      </c>
      <c r="T46" s="209"/>
      <c r="U46" s="219">
        <f>COUNTIF(U8:U41,"S")</f>
        <v>1</v>
      </c>
      <c r="V46" s="209"/>
      <c r="W46" s="219">
        <f>COUNTIF(W8:W41,"S")</f>
        <v>1</v>
      </c>
      <c r="X46" s="209"/>
      <c r="Y46" s="219">
        <f>COUNTIF(Y8:Y41,"S")</f>
        <v>3</v>
      </c>
      <c r="Z46" s="209"/>
      <c r="AA46" s="219">
        <f>COUNTIF(AA8:AA41,"S")</f>
        <v>0</v>
      </c>
      <c r="AB46" s="209"/>
      <c r="AC46" s="219">
        <f>COUNTIF(AC8:AC41,"S")</f>
        <v>6</v>
      </c>
      <c r="AD46" s="209"/>
      <c r="AE46" s="219">
        <f>COUNTIF(AE8:AE41,"S")</f>
        <v>10</v>
      </c>
      <c r="AF46" s="64"/>
      <c r="AG46" s="64"/>
      <c r="AH46" s="64"/>
      <c r="AN46" s="2"/>
    </row>
    <row r="47" ht="10.9" customHeight="1" spans="1:40">
      <c r="A47" s="215" t="s">
        <v>67</v>
      </c>
      <c r="B47" s="216"/>
      <c r="C47" s="143" t="s">
        <v>28</v>
      </c>
      <c r="D47" s="209"/>
      <c r="E47" s="219">
        <f>COUNTIF(E8:E41,"W")</f>
        <v>13</v>
      </c>
      <c r="F47" s="209"/>
      <c r="G47" s="219">
        <f>COUNTIF(G8:G41,"W")</f>
        <v>25</v>
      </c>
      <c r="H47" s="209"/>
      <c r="I47" s="219">
        <f>COUNTIF(I8:I41,"W")</f>
        <v>12</v>
      </c>
      <c r="J47" s="209"/>
      <c r="K47" s="219">
        <f>COUNTIF(K8:K41,"W")</f>
        <v>18</v>
      </c>
      <c r="L47" s="209"/>
      <c r="M47" s="219">
        <f>COUNTIF(M8:M41,"W")</f>
        <v>13</v>
      </c>
      <c r="N47" s="209"/>
      <c r="O47" s="219">
        <f>COUNTIF(O8:O41,"W")</f>
        <v>17</v>
      </c>
      <c r="P47" s="209"/>
      <c r="Q47" s="219">
        <f>COUNTIF(Q8:Q41,"W")</f>
        <v>7</v>
      </c>
      <c r="R47" s="209"/>
      <c r="S47" s="219">
        <f>COUNTIF(S8:S41,"W")</f>
        <v>13</v>
      </c>
      <c r="T47" s="209"/>
      <c r="U47" s="219">
        <f>COUNTIF(U8:U41,"W")</f>
        <v>24</v>
      </c>
      <c r="V47" s="209"/>
      <c r="W47" s="219">
        <f>COUNTIF(W8:W41,"W")</f>
        <v>5</v>
      </c>
      <c r="X47" s="209"/>
      <c r="Y47" s="219">
        <f>COUNTIF(Y8:Y41,"W")</f>
        <v>0</v>
      </c>
      <c r="Z47" s="209"/>
      <c r="AA47" s="219">
        <f>COUNTIF(AA8:AA41,"W")</f>
        <v>4</v>
      </c>
      <c r="AB47" s="209"/>
      <c r="AC47" s="219">
        <f>COUNTIF(AC8:AC41,"W")</f>
        <v>10</v>
      </c>
      <c r="AD47" s="209"/>
      <c r="AE47" s="219">
        <f>COUNTIF(AE8:AE41,"W")</f>
        <v>5</v>
      </c>
      <c r="AF47" s="64"/>
      <c r="AG47" s="64"/>
      <c r="AH47" s="64"/>
      <c r="AN47" s="2"/>
    </row>
    <row r="48" ht="10.9" customHeight="1" spans="1:40">
      <c r="A48" s="215"/>
      <c r="B48" s="216"/>
      <c r="C48" s="143" t="s">
        <v>29</v>
      </c>
      <c r="D48" s="209"/>
      <c r="E48" s="219">
        <f>COUNTIF(E8:E41,"AB")</f>
        <v>5</v>
      </c>
      <c r="F48" s="209"/>
      <c r="G48" s="219">
        <f>COUNTIF(G8:G41,"AB")</f>
        <v>3</v>
      </c>
      <c r="H48" s="209"/>
      <c r="I48" s="219">
        <f>COUNTIF(I8:I41,"AB")</f>
        <v>4</v>
      </c>
      <c r="J48" s="209"/>
      <c r="K48" s="219">
        <f>COUNTIF(K8:K41,"AB")</f>
        <v>4</v>
      </c>
      <c r="L48" s="209"/>
      <c r="M48" s="219">
        <f>COUNTIF(M8:M41,"AB")</f>
        <v>4</v>
      </c>
      <c r="N48" s="209"/>
      <c r="O48" s="219">
        <f>COUNTIF(O8:O41,"AB")</f>
        <v>4</v>
      </c>
      <c r="P48" s="209"/>
      <c r="Q48" s="219">
        <f>COUNTIF(Q8:Q41,"AB")</f>
        <v>5</v>
      </c>
      <c r="R48" s="209"/>
      <c r="S48" s="219">
        <f>COUNTIF(S8:S41,"AB")</f>
        <v>2</v>
      </c>
      <c r="T48" s="209"/>
      <c r="U48" s="219">
        <f>COUNTIF(U8:U41,"AB")</f>
        <v>3</v>
      </c>
      <c r="V48" s="209"/>
      <c r="W48" s="219">
        <f>COUNTIF(W8:W41,"AB")</f>
        <v>6</v>
      </c>
      <c r="X48" s="209"/>
      <c r="Y48" s="219">
        <f>COUNTIF(Y8:Y41,"AB")</f>
        <v>2</v>
      </c>
      <c r="Z48" s="209"/>
      <c r="AA48" s="219">
        <f>COUNTIF(AA8:AA41,"AB")</f>
        <v>1</v>
      </c>
      <c r="AB48" s="209"/>
      <c r="AC48" s="219">
        <f>COUNTIF(AC8:AC41,"AB")</f>
        <v>3</v>
      </c>
      <c r="AD48" s="209"/>
      <c r="AE48" s="219">
        <f>COUNTIF(AE8:AE41,"AB")</f>
        <v>2</v>
      </c>
      <c r="AF48" s="64"/>
      <c r="AG48" s="64"/>
      <c r="AH48" s="64"/>
      <c r="AN48" s="2"/>
    </row>
    <row r="49" ht="10.9" customHeight="1" spans="1:40">
      <c r="A49" s="215" t="s">
        <v>7</v>
      </c>
      <c r="B49" s="216"/>
      <c r="C49" s="352"/>
      <c r="D49" s="209"/>
      <c r="E49" s="216">
        <f>SUM(E43:E48)</f>
        <v>34</v>
      </c>
      <c r="F49" s="209"/>
      <c r="G49" s="353">
        <f>SUM(G43:G48)</f>
        <v>34</v>
      </c>
      <c r="H49" s="209"/>
      <c r="I49" s="353">
        <f>SUM(I43:I48)</f>
        <v>34</v>
      </c>
      <c r="J49" s="209"/>
      <c r="K49" s="353">
        <f>SUM(K43:K48)</f>
        <v>34</v>
      </c>
      <c r="L49" s="209"/>
      <c r="M49" s="353">
        <f>SUM(M43:M48)</f>
        <v>34</v>
      </c>
      <c r="N49" s="209"/>
      <c r="O49" s="353">
        <f>SUM(O43:O48)</f>
        <v>34</v>
      </c>
      <c r="P49" s="209"/>
      <c r="Q49" s="353">
        <f>SUM(Q43:Q48)</f>
        <v>34</v>
      </c>
      <c r="R49" s="209"/>
      <c r="S49" s="353">
        <f>SUM(S43:S48)</f>
        <v>34</v>
      </c>
      <c r="T49" s="209"/>
      <c r="U49" s="353">
        <f>SUM(U43:U48)</f>
        <v>34</v>
      </c>
      <c r="V49" s="209"/>
      <c r="W49" s="353">
        <f>SUM(W43:W48)</f>
        <v>15</v>
      </c>
      <c r="X49" s="209"/>
      <c r="Y49" s="353">
        <f>SUM(Y43:Y48)</f>
        <v>14</v>
      </c>
      <c r="Z49" s="209"/>
      <c r="AA49" s="353">
        <f>SUM(AA43:AA48)</f>
        <v>7</v>
      </c>
      <c r="AB49" s="209"/>
      <c r="AC49" s="353">
        <f>SUM(AC43:AC48)</f>
        <v>34</v>
      </c>
      <c r="AD49" s="209"/>
      <c r="AE49" s="353">
        <f>SUM(AE43:AE48)</f>
        <v>34</v>
      </c>
      <c r="AF49" s="70"/>
      <c r="AG49" s="70"/>
      <c r="AH49" s="70"/>
      <c r="AN49" s="2"/>
    </row>
    <row r="50" ht="18" spans="1:40">
      <c r="A50" s="123"/>
      <c r="B50" s="287"/>
      <c r="C50" s="354"/>
      <c r="K50" s="1"/>
      <c r="AN50" s="2"/>
    </row>
    <row r="51" ht="18" spans="1:40">
      <c r="A51" s="123"/>
      <c r="B51" s="310"/>
      <c r="C51" s="355"/>
      <c r="K51" s="1"/>
      <c r="AN51" s="2"/>
    </row>
    <row r="52" ht="15.6" spans="1:40">
      <c r="K52" s="1"/>
      <c r="AN52" s="2"/>
    </row>
    <row r="53" ht="15.6" spans="1:40">
      <c r="K53" s="1"/>
      <c r="AN53" s="2"/>
    </row>
    <row r="54" ht="15.6" spans="1:40">
      <c r="K54" s="1"/>
      <c r="AN54" s="2"/>
    </row>
  </sheetData>
  <mergeCells count="17">
    <mergeCell ref="A1:AE1"/>
    <mergeCell ref="A3:AM3"/>
    <mergeCell ref="A4:AM4"/>
    <mergeCell ref="D6:AE6"/>
    <mergeCell ref="AF6:AH6"/>
    <mergeCell ref="AI6:AN6"/>
    <mergeCell ref="A42:B42"/>
    <mergeCell ref="A43:B43"/>
    <mergeCell ref="A44:B44"/>
    <mergeCell ref="A45:B45"/>
    <mergeCell ref="A46:B46"/>
    <mergeCell ref="A47:B47"/>
    <mergeCell ref="A48:B48"/>
    <mergeCell ref="A49:B49"/>
    <mergeCell ref="A6:A7"/>
    <mergeCell ref="B6:B7"/>
    <mergeCell ref="C6:C7"/>
  </mergeCells>
  <pageMargins left="0.25" right="0.25" top="0.75" bottom="0.75" header="0.3" footer="0.3"/>
  <pageSetup paperSize="8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9"/>
  <sheetViews>
    <sheetView zoomScale="85" zoomScaleNormal="85" topLeftCell="A14" workbookViewId="0">
      <selection activeCell="T23" sqref="T23"/>
    </sheetView>
  </sheetViews>
  <sheetFormatPr defaultColWidth="9" defaultRowHeight="14.4"/>
  <cols>
    <col min="1" max="1" width="6.71296296296296" customWidth="1"/>
    <col min="2" max="2" width="39" customWidth="1"/>
    <col min="3" max="31" width="4" customWidth="1"/>
    <col min="32" max="32" width="5.85185185185185" customWidth="1"/>
    <col min="33" max="33" width="8.71296296296296" customWidth="1"/>
    <col min="34" max="40" width="4" customWidth="1"/>
  </cols>
  <sheetData>
    <row r="1" ht="25.8" spans="1:40">
      <c r="A1" s="3" t="s">
        <v>202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N1" s="2"/>
    </row>
    <row r="2" ht="3" customHeight="1" spans="1:40">
      <c r="K2" s="1"/>
      <c r="AN2" s="2"/>
    </row>
    <row r="3" ht="21" spans="1:40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2"/>
    </row>
    <row r="4" ht="21" spans="1:40">
      <c r="A4" s="5" t="s">
        <v>253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2"/>
    </row>
    <row r="5" ht="6" customHeight="1" spans="1:40">
      <c r="K5" s="1"/>
      <c r="AN5" s="2"/>
    </row>
    <row r="6" ht="15.6" spans="1:40">
      <c r="A6" s="6" t="s">
        <v>3</v>
      </c>
      <c r="B6" s="7" t="s">
        <v>4</v>
      </c>
      <c r="C6" s="8" t="s">
        <v>5</v>
      </c>
      <c r="D6" s="9" t="s">
        <v>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325"/>
      <c r="AG6" s="326"/>
      <c r="AH6" s="327"/>
      <c r="AI6" s="11" t="s">
        <v>7</v>
      </c>
      <c r="AJ6" s="12"/>
      <c r="AK6" s="12"/>
      <c r="AL6" s="12"/>
      <c r="AM6" s="12"/>
      <c r="AN6" s="12"/>
    </row>
    <row r="7" ht="67.9" customHeight="1" spans="1:40">
      <c r="A7" s="6"/>
      <c r="B7" s="6"/>
      <c r="C7" s="13"/>
      <c r="D7" s="14" t="s">
        <v>8</v>
      </c>
      <c r="E7" s="14"/>
      <c r="F7" s="328" t="s">
        <v>9</v>
      </c>
      <c r="G7" s="14"/>
      <c r="H7" s="14" t="s">
        <v>10</v>
      </c>
      <c r="I7" s="14"/>
      <c r="J7" s="14" t="s">
        <v>11</v>
      </c>
      <c r="K7" s="14"/>
      <c r="L7" s="14" t="s">
        <v>12</v>
      </c>
      <c r="M7" s="14"/>
      <c r="N7" s="14" t="s">
        <v>13</v>
      </c>
      <c r="O7" s="14"/>
      <c r="P7" s="171" t="s">
        <v>14</v>
      </c>
      <c r="Q7" s="16"/>
      <c r="R7" s="16" t="s">
        <v>15</v>
      </c>
      <c r="S7" s="16"/>
      <c r="T7" s="16" t="s">
        <v>16</v>
      </c>
      <c r="U7" s="16"/>
      <c r="V7" s="17" t="s">
        <v>17</v>
      </c>
      <c r="W7" s="17"/>
      <c r="X7" s="17" t="s">
        <v>18</v>
      </c>
      <c r="Y7" s="17"/>
      <c r="Z7" s="17" t="s">
        <v>19</v>
      </c>
      <c r="AA7" s="92"/>
      <c r="AB7" s="93" t="s">
        <v>20</v>
      </c>
      <c r="AC7" s="93"/>
      <c r="AD7" s="93" t="s">
        <v>21</v>
      </c>
      <c r="AE7" s="93"/>
      <c r="AF7" s="18" t="s">
        <v>7</v>
      </c>
      <c r="AG7" s="18" t="s">
        <v>22</v>
      </c>
      <c r="AH7" s="18" t="s">
        <v>23</v>
      </c>
      <c r="AI7" s="19" t="s">
        <v>24</v>
      </c>
      <c r="AJ7" s="20" t="s">
        <v>25</v>
      </c>
      <c r="AK7" s="21" t="s">
        <v>26</v>
      </c>
      <c r="AL7" s="20" t="s">
        <v>27</v>
      </c>
      <c r="AM7" s="20" t="s">
        <v>28</v>
      </c>
      <c r="AN7" s="22" t="s">
        <v>29</v>
      </c>
    </row>
    <row r="8" ht="15" customHeight="1" spans="1:40">
      <c r="A8" s="39">
        <v>1</v>
      </c>
      <c r="B8" s="329" t="s">
        <v>254</v>
      </c>
      <c r="C8" s="95" t="s">
        <v>255</v>
      </c>
      <c r="D8" s="41">
        <v>37</v>
      </c>
      <c r="E8" s="29" t="str">
        <f>IF(D8&gt;=75,"A",IF(D8&gt;=65,"B",IF(D8&gt;=50,"C",IF(D8&gt;=40,"S","W"))))</f>
        <v>W</v>
      </c>
      <c r="F8" s="46" t="s">
        <v>29</v>
      </c>
      <c r="G8" s="46" t="s">
        <v>29</v>
      </c>
      <c r="H8" s="46" t="s">
        <v>29</v>
      </c>
      <c r="I8" s="46" t="s">
        <v>29</v>
      </c>
      <c r="J8" s="46" t="s">
        <v>29</v>
      </c>
      <c r="K8" s="46" t="s">
        <v>29</v>
      </c>
      <c r="L8" s="41">
        <v>31</v>
      </c>
      <c r="M8" s="41" t="str">
        <f>IF(L8&gt;=75,"A",IF(L8&gt;=65,"B",IF(L8&gt;=50,"C",IF(L8&gt;=40,"S","W"))))</f>
        <v>W</v>
      </c>
      <c r="N8" s="41">
        <v>28</v>
      </c>
      <c r="O8" s="41" t="str">
        <f>IF(N8&gt;=75,"A",IF(N8&gt;=65,"B",IF(N8&gt;=50,"C",IF(N8&gt;=40,"S","W"))))</f>
        <v>W</v>
      </c>
      <c r="P8" s="309">
        <v>70</v>
      </c>
      <c r="Q8" s="309" t="str">
        <f>IF(P8&gt;=75,"A",IF(P8&gt;=65,"B",IF(P8&gt;=50,"C",IF(P8&gt;=40,"S","W"))))</f>
        <v>B</v>
      </c>
      <c r="R8" s="42" t="s">
        <v>29</v>
      </c>
      <c r="S8" s="42" t="s">
        <v>29</v>
      </c>
      <c r="T8" s="42" t="s">
        <v>29</v>
      </c>
      <c r="U8" s="42" t="s">
        <v>29</v>
      </c>
      <c r="V8" s="42" t="s">
        <v>29</v>
      </c>
      <c r="W8" s="42" t="s">
        <v>29</v>
      </c>
      <c r="X8" s="44"/>
      <c r="Y8" s="44"/>
      <c r="Z8" s="44"/>
      <c r="AA8" s="44"/>
      <c r="AB8" s="304" t="s">
        <v>29</v>
      </c>
      <c r="AC8" s="304" t="s">
        <v>29</v>
      </c>
      <c r="AD8" s="99">
        <v>25</v>
      </c>
      <c r="AE8" s="99" t="str">
        <f>IF(AD8&gt;=75,"A",IF(AD8&gt;=65,"B",IF(AD8&gt;=50,"C",IF(AD8&gt;=40,"S","W"))))</f>
        <v>W</v>
      </c>
      <c r="AF8" s="100">
        <f>SUM(AD8,AB8,Z8,X8,V8,T8,R8,P8,N8,L8,J8,H8,F8,D8)</f>
        <v>191</v>
      </c>
      <c r="AG8" s="101">
        <f>AVERAGE(AD8,AB8,Z8,X8,V8,T8,R8,P8,N8,L8,J8,H8,F8,D8)</f>
        <v>38.2</v>
      </c>
      <c r="AH8" s="100">
        <f>RANK(AF8,$AF$8:$AF$38,0)</f>
        <v>29</v>
      </c>
      <c r="AI8" s="36">
        <f>COUNTIF(D8:AE8,"A")</f>
        <v>0</v>
      </c>
      <c r="AJ8" s="36">
        <f>COUNTIF(D8:AE8,"B")</f>
        <v>1</v>
      </c>
      <c r="AK8" s="36">
        <f>COUNTIF(D8:AE8,"C")</f>
        <v>0</v>
      </c>
      <c r="AL8" s="36">
        <f>COUNTIF(E8:AE8,"S")</f>
        <v>0</v>
      </c>
      <c r="AM8" s="36">
        <f t="shared" ref="AM8:AM23" si="0">COUNTIF(D8:AE8,"W")</f>
        <v>4</v>
      </c>
      <c r="AN8" s="37">
        <f>(COUNTIF(D8:AE8,"AB"))/2</f>
        <v>7</v>
      </c>
    </row>
    <row r="9" ht="15" customHeight="1" spans="1:40">
      <c r="A9" s="24">
        <v>2</v>
      </c>
      <c r="B9" s="329" t="s">
        <v>256</v>
      </c>
      <c r="C9" s="95" t="s">
        <v>255</v>
      </c>
      <c r="D9" s="41">
        <v>46</v>
      </c>
      <c r="E9" s="29" t="str">
        <f t="shared" ref="E9:E38" si="1">IF(D9&gt;=75,"A",IF(D9&gt;=65,"B",IF(D9&gt;=50,"C",IF(D9&gt;=40,"S","W"))))</f>
        <v>S</v>
      </c>
      <c r="F9" s="49">
        <v>27</v>
      </c>
      <c r="G9" s="49" t="str">
        <f t="shared" ref="G9:G38" si="2">IF(F9&gt;=75,"A",IF(F9&gt;=65,"B",IF(F9&gt;=50,"C",IF(F9&gt;=40,"S","W"))))</f>
        <v>W</v>
      </c>
      <c r="H9" s="41">
        <v>40</v>
      </c>
      <c r="I9" s="29" t="str">
        <f t="shared" ref="I9:I38" si="3">IF(H9&gt;=75,"A",IF(H9&gt;=65,"B",IF(H9&gt;=50,"C",IF(H9&gt;=40,"S","W"))))</f>
        <v>S</v>
      </c>
      <c r="J9" s="41">
        <v>38</v>
      </c>
      <c r="K9" s="41" t="str">
        <f t="shared" ref="K9:K38" si="4">IF(J9&gt;=75,"A",IF(J9&gt;=65,"B",IF(J9&gt;=50,"C",IF(J9&gt;=40,"S","W"))))</f>
        <v>W</v>
      </c>
      <c r="L9" s="41">
        <v>73</v>
      </c>
      <c r="M9" s="41" t="str">
        <f t="shared" ref="M9:M38" si="5">IF(L9&gt;=75,"A",IF(L9&gt;=65,"B",IF(L9&gt;=50,"C",IF(L9&gt;=40,"S","W"))))</f>
        <v>B</v>
      </c>
      <c r="N9" s="41">
        <v>38</v>
      </c>
      <c r="O9" s="41" t="str">
        <f t="shared" ref="O9:O38" si="6">IF(N9&gt;=75,"A",IF(N9&gt;=65,"B",IF(N9&gt;=50,"C",IF(N9&gt;=40,"S","W"))))</f>
        <v>W</v>
      </c>
      <c r="P9" s="309">
        <v>84</v>
      </c>
      <c r="Q9" s="309" t="str">
        <f t="shared" ref="Q9:Q38" si="7">IF(P9&gt;=75,"A",IF(P9&gt;=65,"B",IF(P9&gt;=50,"C",IF(P9&gt;=40,"S","W"))))</f>
        <v>A</v>
      </c>
      <c r="R9" s="43">
        <v>59</v>
      </c>
      <c r="S9" s="43" t="str">
        <f t="shared" ref="S9:S38" si="8">IF(R9&gt;=75,"A",IF(R9&gt;=65,"B",IF(R9&gt;=50,"C",IF(R9&gt;=40,"S","W"))))</f>
        <v>C</v>
      </c>
      <c r="T9" s="43">
        <v>57</v>
      </c>
      <c r="U9" s="43" t="str">
        <f t="shared" ref="U9:U38" si="9">IF(T9&gt;=75,"A",IF(T9&gt;=65,"B",IF(T9&gt;=50,"C",IF(T9&gt;=40,"S","W"))))</f>
        <v>C</v>
      </c>
      <c r="V9" s="44">
        <v>85</v>
      </c>
      <c r="W9" s="44" t="str">
        <f>IF(V9&gt;=75,"A",IF(V9&gt;=65,"B",IF(V9&gt;=50,"C",IF(V9&gt;=40,"S","W"))))</f>
        <v>A</v>
      </c>
      <c r="X9" s="44"/>
      <c r="Y9" s="44"/>
      <c r="Z9" s="44"/>
      <c r="AA9" s="44"/>
      <c r="AB9" s="99">
        <v>75</v>
      </c>
      <c r="AC9" s="99" t="str">
        <f t="shared" ref="AC9:AC38" si="10">IF(AB9&gt;=75,"A",IF(AB9&gt;=65,"B",IF(AB9&gt;=50,"C",IF(AB9&gt;=40,"S","W"))))</f>
        <v>A</v>
      </c>
      <c r="AD9" s="99">
        <v>87</v>
      </c>
      <c r="AE9" s="99" t="str">
        <f t="shared" ref="AE9:AE38" si="11">IF(AD9&gt;=75,"A",IF(AD9&gt;=65,"B",IF(AD9&gt;=50,"C",IF(AD9&gt;=40,"S","W"))))</f>
        <v>A</v>
      </c>
      <c r="AF9" s="100">
        <f t="shared" ref="AF9:AF38" si="12">SUM(AD9,AB9,Z9,X9,V9,T9,R9,P9,N9,L9,J9,H9,F9,D9)</f>
        <v>709</v>
      </c>
      <c r="AG9" s="101">
        <f t="shared" ref="AG9:AG38" si="13">AVERAGE(AD9,AB9,Z9,X9,V9,T9,R9,P9,N9,L9,J9,H9,F9,D9)</f>
        <v>59.0833333333333</v>
      </c>
      <c r="AH9" s="100">
        <f t="shared" ref="AH9:AH38" si="14">RANK(AF9,$AF$8:$AF$38,0)</f>
        <v>9</v>
      </c>
      <c r="AI9" s="36">
        <f t="shared" ref="AI9:AI38" si="15">COUNTIF(D9:AE9,"A")</f>
        <v>4</v>
      </c>
      <c r="AJ9" s="36">
        <f t="shared" ref="AJ9:AJ38" si="16">COUNTIF(D9:AE9,"B")</f>
        <v>1</v>
      </c>
      <c r="AK9" s="36">
        <f t="shared" ref="AK9:AK38" si="17">COUNTIF(D9:AE9,"C")</f>
        <v>2</v>
      </c>
      <c r="AL9" s="36">
        <f t="shared" ref="AL9:AL38" si="18">COUNTIF(E9:AE9,"S")</f>
        <v>2</v>
      </c>
      <c r="AM9" s="36">
        <f t="shared" si="0"/>
        <v>3</v>
      </c>
      <c r="AN9" s="37">
        <f t="shared" ref="AN9:AN38" si="19">(COUNTIF(D9:AE9,"AB"))/2</f>
        <v>0</v>
      </c>
    </row>
    <row r="10" ht="15" customHeight="1" spans="1:40">
      <c r="A10" s="39">
        <v>3</v>
      </c>
      <c r="B10" s="329" t="s">
        <v>257</v>
      </c>
      <c r="C10" s="95" t="s">
        <v>255</v>
      </c>
      <c r="D10" s="46" t="s">
        <v>29</v>
      </c>
      <c r="E10" s="46" t="s">
        <v>29</v>
      </c>
      <c r="F10" s="41">
        <v>16</v>
      </c>
      <c r="G10" s="49" t="str">
        <f t="shared" si="2"/>
        <v>W</v>
      </c>
      <c r="H10" s="41">
        <v>41</v>
      </c>
      <c r="I10" s="29" t="str">
        <f t="shared" si="3"/>
        <v>S</v>
      </c>
      <c r="J10" s="41">
        <v>34</v>
      </c>
      <c r="K10" s="41" t="str">
        <f t="shared" si="4"/>
        <v>W</v>
      </c>
      <c r="L10" s="41">
        <v>27</v>
      </c>
      <c r="M10" s="41" t="str">
        <f t="shared" si="5"/>
        <v>W</v>
      </c>
      <c r="N10" s="41">
        <v>33</v>
      </c>
      <c r="O10" s="41" t="str">
        <f t="shared" si="6"/>
        <v>W</v>
      </c>
      <c r="P10" s="43">
        <v>54</v>
      </c>
      <c r="Q10" s="309" t="str">
        <f t="shared" si="7"/>
        <v>C</v>
      </c>
      <c r="R10" s="42" t="s">
        <v>29</v>
      </c>
      <c r="S10" s="42" t="s">
        <v>29</v>
      </c>
      <c r="T10" s="43">
        <v>28</v>
      </c>
      <c r="U10" s="43" t="str">
        <f t="shared" si="9"/>
        <v>W</v>
      </c>
      <c r="V10" s="44"/>
      <c r="W10" s="44"/>
      <c r="X10" s="44">
        <v>58</v>
      </c>
      <c r="Y10" s="44" t="str">
        <f>IF(X10&gt;=75,"A",IF(X10&gt;=65,"B",IF(X10&gt;=50,"C",IF(X10&gt;=40,"S","W"))))</f>
        <v>C</v>
      </c>
      <c r="Z10" s="44"/>
      <c r="AA10" s="44"/>
      <c r="AB10" s="99">
        <v>50</v>
      </c>
      <c r="AC10" s="99" t="str">
        <f t="shared" si="10"/>
        <v>C</v>
      </c>
      <c r="AD10" s="99">
        <v>48</v>
      </c>
      <c r="AE10" s="99" t="str">
        <f t="shared" si="11"/>
        <v>S</v>
      </c>
      <c r="AF10" s="100">
        <f t="shared" si="12"/>
        <v>389</v>
      </c>
      <c r="AG10" s="101">
        <f t="shared" si="13"/>
        <v>38.9</v>
      </c>
      <c r="AH10" s="100">
        <f t="shared" si="14"/>
        <v>25</v>
      </c>
      <c r="AI10" s="36">
        <f t="shared" si="15"/>
        <v>0</v>
      </c>
      <c r="AJ10" s="36">
        <f t="shared" si="16"/>
        <v>0</v>
      </c>
      <c r="AK10" s="36">
        <f t="shared" si="17"/>
        <v>3</v>
      </c>
      <c r="AL10" s="36">
        <f t="shared" si="18"/>
        <v>2</v>
      </c>
      <c r="AM10" s="36">
        <f t="shared" si="0"/>
        <v>5</v>
      </c>
      <c r="AN10" s="37">
        <f t="shared" si="19"/>
        <v>2</v>
      </c>
    </row>
    <row r="11" ht="15" customHeight="1" spans="1:40">
      <c r="A11" s="24">
        <v>4</v>
      </c>
      <c r="B11" s="329" t="s">
        <v>258</v>
      </c>
      <c r="C11" s="95" t="s">
        <v>255</v>
      </c>
      <c r="D11" s="41">
        <v>38</v>
      </c>
      <c r="E11" s="29" t="str">
        <f t="shared" si="1"/>
        <v>W</v>
      </c>
      <c r="F11" s="41">
        <v>25</v>
      </c>
      <c r="G11" s="49" t="str">
        <f t="shared" si="2"/>
        <v>W</v>
      </c>
      <c r="H11" s="41">
        <v>44</v>
      </c>
      <c r="I11" s="29" t="str">
        <f t="shared" si="3"/>
        <v>S</v>
      </c>
      <c r="J11" s="41">
        <v>33</v>
      </c>
      <c r="K11" s="41" t="str">
        <f t="shared" si="4"/>
        <v>W</v>
      </c>
      <c r="L11" s="41">
        <v>32</v>
      </c>
      <c r="M11" s="41" t="str">
        <f t="shared" si="5"/>
        <v>W</v>
      </c>
      <c r="N11" s="41">
        <v>51</v>
      </c>
      <c r="O11" s="41" t="str">
        <f t="shared" si="6"/>
        <v>C</v>
      </c>
      <c r="P11" s="43">
        <v>77</v>
      </c>
      <c r="Q11" s="309" t="str">
        <f t="shared" si="7"/>
        <v>A</v>
      </c>
      <c r="R11" s="43">
        <v>70</v>
      </c>
      <c r="S11" s="43" t="str">
        <f t="shared" si="8"/>
        <v>B</v>
      </c>
      <c r="T11" s="43">
        <v>28</v>
      </c>
      <c r="U11" s="43" t="str">
        <f t="shared" si="9"/>
        <v>W</v>
      </c>
      <c r="V11" s="44"/>
      <c r="W11" s="44"/>
      <c r="X11" s="44"/>
      <c r="Y11" s="44"/>
      <c r="Z11" s="44">
        <v>44</v>
      </c>
      <c r="AA11" s="44" t="str">
        <f>IF(Z11&gt;=75,"A",IF(Z11&gt;=65,"B",IF(Z11&gt;=50,"C",IF(Z11&gt;=40,"S","W"))))</f>
        <v>S</v>
      </c>
      <c r="AB11" s="99">
        <v>61</v>
      </c>
      <c r="AC11" s="99" t="str">
        <f t="shared" si="10"/>
        <v>C</v>
      </c>
      <c r="AD11" s="99">
        <v>83</v>
      </c>
      <c r="AE11" s="99" t="str">
        <f t="shared" si="11"/>
        <v>A</v>
      </c>
      <c r="AF11" s="100">
        <f t="shared" si="12"/>
        <v>586</v>
      </c>
      <c r="AG11" s="101">
        <f t="shared" si="13"/>
        <v>48.8333333333333</v>
      </c>
      <c r="AH11" s="100">
        <f t="shared" si="14"/>
        <v>15</v>
      </c>
      <c r="AI11" s="36">
        <f t="shared" si="15"/>
        <v>2</v>
      </c>
      <c r="AJ11" s="36">
        <f t="shared" si="16"/>
        <v>1</v>
      </c>
      <c r="AK11" s="36">
        <f t="shared" si="17"/>
        <v>2</v>
      </c>
      <c r="AL11" s="36">
        <f t="shared" si="18"/>
        <v>2</v>
      </c>
      <c r="AM11" s="36">
        <f t="shared" si="0"/>
        <v>5</v>
      </c>
      <c r="AN11" s="37">
        <f t="shared" si="19"/>
        <v>0</v>
      </c>
    </row>
    <row r="12" ht="15" customHeight="1" spans="1:40">
      <c r="A12" s="39">
        <v>5</v>
      </c>
      <c r="B12" s="329" t="s">
        <v>259</v>
      </c>
      <c r="C12" s="215" t="s">
        <v>255</v>
      </c>
      <c r="D12" s="124">
        <v>24</v>
      </c>
      <c r="E12" s="156" t="str">
        <f t="shared" si="1"/>
        <v>W</v>
      </c>
      <c r="F12" s="124">
        <v>26</v>
      </c>
      <c r="G12" s="277" t="str">
        <f t="shared" si="2"/>
        <v>W</v>
      </c>
      <c r="H12" s="124">
        <v>53</v>
      </c>
      <c r="I12" s="156" t="str">
        <f t="shared" si="3"/>
        <v>C</v>
      </c>
      <c r="J12" s="124">
        <v>13</v>
      </c>
      <c r="K12" s="124" t="str">
        <f t="shared" si="4"/>
        <v>W</v>
      </c>
      <c r="L12" s="277">
        <v>29</v>
      </c>
      <c r="M12" s="124" t="str">
        <f t="shared" si="5"/>
        <v>W</v>
      </c>
      <c r="N12" s="277">
        <v>48</v>
      </c>
      <c r="O12" s="124" t="str">
        <f t="shared" si="6"/>
        <v>S</v>
      </c>
      <c r="P12" s="83">
        <v>61</v>
      </c>
      <c r="Q12" s="330" t="str">
        <f t="shared" si="7"/>
        <v>C</v>
      </c>
      <c r="R12" s="83">
        <v>40</v>
      </c>
      <c r="S12" s="83" t="str">
        <f t="shared" si="8"/>
        <v>S</v>
      </c>
      <c r="T12" s="83">
        <v>14</v>
      </c>
      <c r="U12" s="83" t="str">
        <f t="shared" si="9"/>
        <v>W</v>
      </c>
      <c r="V12" s="42" t="s">
        <v>29</v>
      </c>
      <c r="W12" s="42" t="s">
        <v>29</v>
      </c>
      <c r="X12" s="44"/>
      <c r="Y12" s="44"/>
      <c r="Z12" s="44"/>
      <c r="AA12" s="44"/>
      <c r="AB12" s="99">
        <v>48</v>
      </c>
      <c r="AC12" s="99" t="str">
        <f t="shared" si="10"/>
        <v>S</v>
      </c>
      <c r="AD12" s="99">
        <v>45</v>
      </c>
      <c r="AE12" s="99" t="str">
        <f t="shared" si="11"/>
        <v>S</v>
      </c>
      <c r="AF12" s="100">
        <f t="shared" si="12"/>
        <v>401</v>
      </c>
      <c r="AG12" s="101">
        <f t="shared" si="13"/>
        <v>36.4545454545455</v>
      </c>
      <c r="AH12" s="100">
        <f t="shared" si="14"/>
        <v>23</v>
      </c>
      <c r="AI12" s="47">
        <f t="shared" si="15"/>
        <v>0</v>
      </c>
      <c r="AJ12" s="47">
        <f t="shared" si="16"/>
        <v>0</v>
      </c>
      <c r="AK12" s="47">
        <f t="shared" si="17"/>
        <v>2</v>
      </c>
      <c r="AL12" s="47">
        <f t="shared" si="18"/>
        <v>4</v>
      </c>
      <c r="AM12" s="47">
        <f t="shared" si="0"/>
        <v>5</v>
      </c>
      <c r="AN12" s="37">
        <f t="shared" si="19"/>
        <v>1</v>
      </c>
    </row>
    <row r="13" ht="15" customHeight="1" spans="1:40">
      <c r="A13" s="24">
        <v>6</v>
      </c>
      <c r="B13" s="329" t="s">
        <v>260</v>
      </c>
      <c r="C13" s="95" t="s">
        <v>255</v>
      </c>
      <c r="D13" s="41">
        <v>57</v>
      </c>
      <c r="E13" s="29" t="str">
        <f t="shared" si="1"/>
        <v>C</v>
      </c>
      <c r="F13" s="49">
        <v>61</v>
      </c>
      <c r="G13" s="49" t="str">
        <f t="shared" si="2"/>
        <v>C</v>
      </c>
      <c r="H13" s="41">
        <v>83</v>
      </c>
      <c r="I13" s="29" t="str">
        <f t="shared" si="3"/>
        <v>A</v>
      </c>
      <c r="J13" s="41">
        <v>78</v>
      </c>
      <c r="K13" s="41" t="str">
        <f t="shared" si="4"/>
        <v>A</v>
      </c>
      <c r="L13" s="41">
        <v>78</v>
      </c>
      <c r="M13" s="41" t="str">
        <f t="shared" si="5"/>
        <v>A</v>
      </c>
      <c r="N13" s="41">
        <v>43</v>
      </c>
      <c r="O13" s="41" t="str">
        <f t="shared" si="6"/>
        <v>S</v>
      </c>
      <c r="P13" s="330">
        <v>87</v>
      </c>
      <c r="Q13" s="330" t="str">
        <f t="shared" si="7"/>
        <v>A</v>
      </c>
      <c r="R13" s="83">
        <v>72</v>
      </c>
      <c r="S13" s="83" t="str">
        <f t="shared" si="8"/>
        <v>B</v>
      </c>
      <c r="T13" s="83">
        <v>75</v>
      </c>
      <c r="U13" s="83" t="str">
        <f t="shared" si="9"/>
        <v>A</v>
      </c>
      <c r="V13" s="44">
        <v>85</v>
      </c>
      <c r="W13" s="44" t="str">
        <f t="shared" ref="W13:W34" si="20">IF(V13&gt;=75,"A",IF(V13&gt;=65,"B",IF(V13&gt;=50,"C",IF(V13&gt;=40,"S","W"))))</f>
        <v>A</v>
      </c>
      <c r="X13" s="44"/>
      <c r="Y13" s="44"/>
      <c r="Z13" s="44"/>
      <c r="AA13" s="44"/>
      <c r="AB13" s="99">
        <v>65</v>
      </c>
      <c r="AC13" s="99" t="str">
        <f t="shared" si="10"/>
        <v>B</v>
      </c>
      <c r="AD13" s="99">
        <v>98</v>
      </c>
      <c r="AE13" s="99" t="str">
        <f t="shared" si="11"/>
        <v>A</v>
      </c>
      <c r="AF13" s="100">
        <f t="shared" si="12"/>
        <v>882</v>
      </c>
      <c r="AG13" s="101">
        <f t="shared" si="13"/>
        <v>73.5</v>
      </c>
      <c r="AH13" s="100">
        <f t="shared" si="14"/>
        <v>3</v>
      </c>
      <c r="AI13" s="36">
        <f t="shared" si="15"/>
        <v>7</v>
      </c>
      <c r="AJ13" s="36">
        <f t="shared" si="16"/>
        <v>2</v>
      </c>
      <c r="AK13" s="36">
        <f t="shared" si="17"/>
        <v>2</v>
      </c>
      <c r="AL13" s="36">
        <f t="shared" si="18"/>
        <v>1</v>
      </c>
      <c r="AM13" s="36">
        <f t="shared" si="0"/>
        <v>0</v>
      </c>
      <c r="AN13" s="37">
        <f t="shared" si="19"/>
        <v>0</v>
      </c>
    </row>
    <row r="14" ht="15" customHeight="1" spans="1:40">
      <c r="A14" s="39">
        <v>7</v>
      </c>
      <c r="B14" s="329" t="s">
        <v>261</v>
      </c>
      <c r="C14" s="215" t="s">
        <v>255</v>
      </c>
      <c r="D14" s="124">
        <v>25</v>
      </c>
      <c r="E14" s="156" t="str">
        <f t="shared" si="1"/>
        <v>W</v>
      </c>
      <c r="F14" s="124">
        <v>21</v>
      </c>
      <c r="G14" s="277" t="str">
        <f t="shared" si="2"/>
        <v>W</v>
      </c>
      <c r="H14" s="124">
        <v>21</v>
      </c>
      <c r="I14" s="156" t="str">
        <f t="shared" si="3"/>
        <v>W</v>
      </c>
      <c r="J14" s="124">
        <v>4</v>
      </c>
      <c r="K14" s="124" t="str">
        <f t="shared" si="4"/>
        <v>W</v>
      </c>
      <c r="L14" s="124">
        <v>21</v>
      </c>
      <c r="M14" s="124" t="str">
        <f t="shared" si="5"/>
        <v>W</v>
      </c>
      <c r="N14" s="124">
        <v>29</v>
      </c>
      <c r="O14" s="124" t="str">
        <f t="shared" si="6"/>
        <v>W</v>
      </c>
      <c r="P14" s="83">
        <v>46</v>
      </c>
      <c r="Q14" s="330" t="str">
        <f t="shared" si="7"/>
        <v>S</v>
      </c>
      <c r="R14" s="83">
        <v>33</v>
      </c>
      <c r="S14" s="83" t="str">
        <f t="shared" si="8"/>
        <v>W</v>
      </c>
      <c r="T14" s="83">
        <v>17</v>
      </c>
      <c r="U14" s="83" t="str">
        <f t="shared" si="9"/>
        <v>W</v>
      </c>
      <c r="V14" s="44">
        <v>62</v>
      </c>
      <c r="W14" s="44" t="str">
        <f t="shared" si="20"/>
        <v>C</v>
      </c>
      <c r="X14" s="44"/>
      <c r="Y14" s="44"/>
      <c r="Z14" s="44"/>
      <c r="AA14" s="44"/>
      <c r="AB14" s="99">
        <v>45</v>
      </c>
      <c r="AC14" s="99" t="str">
        <f t="shared" si="10"/>
        <v>S</v>
      </c>
      <c r="AD14" s="99">
        <v>35</v>
      </c>
      <c r="AE14" s="99" t="str">
        <f t="shared" si="11"/>
        <v>W</v>
      </c>
      <c r="AF14" s="100">
        <f t="shared" si="12"/>
        <v>359</v>
      </c>
      <c r="AG14" s="101">
        <f t="shared" si="13"/>
        <v>29.9166666666667</v>
      </c>
      <c r="AH14" s="100">
        <f t="shared" si="14"/>
        <v>26</v>
      </c>
      <c r="AI14" s="47">
        <f t="shared" si="15"/>
        <v>0</v>
      </c>
      <c r="AJ14" s="47">
        <f t="shared" si="16"/>
        <v>0</v>
      </c>
      <c r="AK14" s="47">
        <f t="shared" si="17"/>
        <v>1</v>
      </c>
      <c r="AL14" s="47">
        <f t="shared" si="18"/>
        <v>2</v>
      </c>
      <c r="AM14" s="47">
        <f t="shared" si="0"/>
        <v>9</v>
      </c>
      <c r="AN14" s="37">
        <f t="shared" si="19"/>
        <v>0</v>
      </c>
    </row>
    <row r="15" ht="15" customHeight="1" spans="1:40">
      <c r="A15" s="24">
        <v>8</v>
      </c>
      <c r="B15" s="329" t="s">
        <v>262</v>
      </c>
      <c r="C15" s="95" t="s">
        <v>255</v>
      </c>
      <c r="D15" s="29">
        <v>31</v>
      </c>
      <c r="E15" s="29" t="str">
        <f t="shared" si="1"/>
        <v>W</v>
      </c>
      <c r="F15" s="29">
        <v>5</v>
      </c>
      <c r="G15" s="49" t="str">
        <f t="shared" si="2"/>
        <v>W</v>
      </c>
      <c r="H15" s="29">
        <v>17</v>
      </c>
      <c r="I15" s="29" t="str">
        <f t="shared" si="3"/>
        <v>W</v>
      </c>
      <c r="J15" s="50">
        <v>30</v>
      </c>
      <c r="K15" s="41" t="str">
        <f t="shared" si="4"/>
        <v>W</v>
      </c>
      <c r="L15" s="41">
        <v>21</v>
      </c>
      <c r="M15" s="41" t="str">
        <f t="shared" si="5"/>
        <v>W</v>
      </c>
      <c r="N15" s="50">
        <v>45</v>
      </c>
      <c r="O15" s="41" t="str">
        <f t="shared" si="6"/>
        <v>S</v>
      </c>
      <c r="P15" s="331">
        <v>37</v>
      </c>
      <c r="Q15" s="330" t="str">
        <f t="shared" si="7"/>
        <v>W</v>
      </c>
      <c r="R15" s="331">
        <v>57</v>
      </c>
      <c r="S15" s="83" t="str">
        <f t="shared" si="8"/>
        <v>C</v>
      </c>
      <c r="T15" s="83">
        <v>20</v>
      </c>
      <c r="U15" s="83" t="str">
        <f t="shared" si="9"/>
        <v>W</v>
      </c>
      <c r="V15" s="52"/>
      <c r="W15" s="44"/>
      <c r="X15" s="52"/>
      <c r="Y15" s="44"/>
      <c r="Z15" s="52">
        <v>56</v>
      </c>
      <c r="AA15" s="44" t="str">
        <f t="shared" ref="AA15:AA38" si="21">IF(Z15&gt;=75,"A",IF(Z15&gt;=65,"B",IF(Z15&gt;=50,"C",IF(Z15&gt;=40,"S","W"))))</f>
        <v>C</v>
      </c>
      <c r="AB15" s="106">
        <v>60</v>
      </c>
      <c r="AC15" s="99" t="str">
        <f t="shared" si="10"/>
        <v>C</v>
      </c>
      <c r="AD15" s="106">
        <v>45</v>
      </c>
      <c r="AE15" s="99" t="str">
        <f t="shared" si="11"/>
        <v>S</v>
      </c>
      <c r="AF15" s="100">
        <f t="shared" si="12"/>
        <v>424</v>
      </c>
      <c r="AG15" s="101">
        <f t="shared" si="13"/>
        <v>35.3333333333333</v>
      </c>
      <c r="AH15" s="100">
        <f t="shared" si="14"/>
        <v>21</v>
      </c>
      <c r="AI15" s="36">
        <f t="shared" si="15"/>
        <v>0</v>
      </c>
      <c r="AJ15" s="36">
        <f t="shared" si="16"/>
        <v>0</v>
      </c>
      <c r="AK15" s="36">
        <f t="shared" si="17"/>
        <v>3</v>
      </c>
      <c r="AL15" s="36">
        <f t="shared" si="18"/>
        <v>2</v>
      </c>
      <c r="AM15" s="36">
        <f t="shared" si="0"/>
        <v>7</v>
      </c>
      <c r="AN15" s="37">
        <f t="shared" si="19"/>
        <v>0</v>
      </c>
    </row>
    <row r="16" ht="15" customHeight="1" spans="1:40">
      <c r="A16" s="39">
        <v>9</v>
      </c>
      <c r="B16" s="329" t="s">
        <v>263</v>
      </c>
      <c r="C16" s="95" t="s">
        <v>255</v>
      </c>
      <c r="D16" s="29">
        <v>17</v>
      </c>
      <c r="E16" s="29" t="str">
        <f t="shared" si="1"/>
        <v>W</v>
      </c>
      <c r="F16" s="29">
        <v>8</v>
      </c>
      <c r="G16" s="49" t="str">
        <f t="shared" si="2"/>
        <v>W</v>
      </c>
      <c r="H16" s="29">
        <v>29</v>
      </c>
      <c r="I16" s="29" t="str">
        <f t="shared" si="3"/>
        <v>W</v>
      </c>
      <c r="J16" s="29">
        <v>13</v>
      </c>
      <c r="K16" s="41" t="str">
        <f t="shared" si="4"/>
        <v>W</v>
      </c>
      <c r="L16" s="41">
        <v>30</v>
      </c>
      <c r="M16" s="41" t="str">
        <f t="shared" si="5"/>
        <v>W</v>
      </c>
      <c r="N16" s="29">
        <v>26</v>
      </c>
      <c r="O16" s="41" t="str">
        <f t="shared" si="6"/>
        <v>W</v>
      </c>
      <c r="P16" s="51">
        <v>49</v>
      </c>
      <c r="Q16" s="309" t="str">
        <f t="shared" si="7"/>
        <v>S</v>
      </c>
      <c r="R16" s="51">
        <v>27</v>
      </c>
      <c r="S16" s="43" t="str">
        <f t="shared" si="8"/>
        <v>W</v>
      </c>
      <c r="T16" s="43">
        <v>20</v>
      </c>
      <c r="U16" s="43" t="str">
        <f t="shared" si="9"/>
        <v>W</v>
      </c>
      <c r="V16" s="52"/>
      <c r="W16" s="44"/>
      <c r="X16" s="52"/>
      <c r="Y16" s="44"/>
      <c r="Z16" s="52">
        <v>9</v>
      </c>
      <c r="AA16" s="44" t="str">
        <f t="shared" si="21"/>
        <v>W</v>
      </c>
      <c r="AB16" s="106">
        <v>44</v>
      </c>
      <c r="AC16" s="99" t="str">
        <f t="shared" si="10"/>
        <v>S</v>
      </c>
      <c r="AD16" s="106">
        <v>42</v>
      </c>
      <c r="AE16" s="99" t="str">
        <f t="shared" si="11"/>
        <v>S</v>
      </c>
      <c r="AF16" s="100">
        <f t="shared" si="12"/>
        <v>314</v>
      </c>
      <c r="AG16" s="101">
        <f t="shared" si="13"/>
        <v>26.1666666666667</v>
      </c>
      <c r="AH16" s="100">
        <f t="shared" si="14"/>
        <v>27</v>
      </c>
      <c r="AI16" s="36">
        <f t="shared" si="15"/>
        <v>0</v>
      </c>
      <c r="AJ16" s="36">
        <f t="shared" si="16"/>
        <v>0</v>
      </c>
      <c r="AK16" s="36">
        <f t="shared" si="17"/>
        <v>0</v>
      </c>
      <c r="AL16" s="36">
        <f t="shared" si="18"/>
        <v>3</v>
      </c>
      <c r="AM16" s="36">
        <f t="shared" si="0"/>
        <v>9</v>
      </c>
      <c r="AN16" s="37">
        <f t="shared" si="19"/>
        <v>0</v>
      </c>
    </row>
    <row r="17" ht="15" customHeight="1" spans="1:40">
      <c r="A17" s="24">
        <v>10</v>
      </c>
      <c r="B17" s="329" t="s">
        <v>264</v>
      </c>
      <c r="C17" s="95" t="s">
        <v>255</v>
      </c>
      <c r="D17" s="29">
        <v>32</v>
      </c>
      <c r="E17" s="29" t="str">
        <f t="shared" si="1"/>
        <v>W</v>
      </c>
      <c r="F17" s="29">
        <v>14</v>
      </c>
      <c r="G17" s="49" t="str">
        <f t="shared" si="2"/>
        <v>W</v>
      </c>
      <c r="H17" s="29">
        <v>47</v>
      </c>
      <c r="I17" s="29" t="str">
        <f t="shared" si="3"/>
        <v>S</v>
      </c>
      <c r="J17" s="29">
        <v>54</v>
      </c>
      <c r="K17" s="41" t="str">
        <f t="shared" si="4"/>
        <v>C</v>
      </c>
      <c r="L17" s="41">
        <v>59</v>
      </c>
      <c r="M17" s="41" t="str">
        <f t="shared" si="5"/>
        <v>C</v>
      </c>
      <c r="N17" s="29">
        <v>26</v>
      </c>
      <c r="O17" s="41" t="str">
        <f t="shared" si="6"/>
        <v>W</v>
      </c>
      <c r="P17" s="51">
        <v>65</v>
      </c>
      <c r="Q17" s="309" t="str">
        <f t="shared" si="7"/>
        <v>B</v>
      </c>
      <c r="R17" s="51">
        <v>48</v>
      </c>
      <c r="S17" s="43" t="str">
        <f t="shared" si="8"/>
        <v>S</v>
      </c>
      <c r="T17" s="43">
        <v>32</v>
      </c>
      <c r="U17" s="43" t="str">
        <f t="shared" si="9"/>
        <v>W</v>
      </c>
      <c r="V17" s="52"/>
      <c r="W17" s="44"/>
      <c r="X17" s="52"/>
      <c r="Y17" s="44"/>
      <c r="Z17" s="52">
        <v>11</v>
      </c>
      <c r="AA17" s="44" t="str">
        <f t="shared" si="21"/>
        <v>W</v>
      </c>
      <c r="AB17" s="106">
        <v>57</v>
      </c>
      <c r="AC17" s="99" t="str">
        <f t="shared" si="10"/>
        <v>C</v>
      </c>
      <c r="AD17" s="106">
        <v>85</v>
      </c>
      <c r="AE17" s="99" t="str">
        <f t="shared" si="11"/>
        <v>A</v>
      </c>
      <c r="AF17" s="100">
        <f t="shared" si="12"/>
        <v>530</v>
      </c>
      <c r="AG17" s="101">
        <f t="shared" si="13"/>
        <v>44.1666666666667</v>
      </c>
      <c r="AH17" s="100">
        <f t="shared" si="14"/>
        <v>17</v>
      </c>
      <c r="AI17" s="36">
        <f t="shared" si="15"/>
        <v>1</v>
      </c>
      <c r="AJ17" s="36">
        <f t="shared" si="16"/>
        <v>1</v>
      </c>
      <c r="AK17" s="36">
        <f t="shared" si="17"/>
        <v>3</v>
      </c>
      <c r="AL17" s="36">
        <f t="shared" si="18"/>
        <v>2</v>
      </c>
      <c r="AM17" s="36">
        <f t="shared" si="0"/>
        <v>5</v>
      </c>
      <c r="AN17" s="37">
        <f t="shared" si="19"/>
        <v>0</v>
      </c>
    </row>
    <row r="18" ht="15" customHeight="1" spans="1:40">
      <c r="A18" s="39">
        <v>11</v>
      </c>
      <c r="B18" s="329" t="s">
        <v>265</v>
      </c>
      <c r="C18" s="95" t="s">
        <v>255</v>
      </c>
      <c r="D18" s="29">
        <v>27</v>
      </c>
      <c r="E18" s="29" t="str">
        <f t="shared" si="1"/>
        <v>W</v>
      </c>
      <c r="F18" s="29">
        <v>18</v>
      </c>
      <c r="G18" s="49" t="str">
        <f t="shared" si="2"/>
        <v>W</v>
      </c>
      <c r="H18" s="29">
        <v>33</v>
      </c>
      <c r="I18" s="29" t="str">
        <f t="shared" si="3"/>
        <v>W</v>
      </c>
      <c r="J18" s="29">
        <v>14</v>
      </c>
      <c r="K18" s="41" t="str">
        <f t="shared" si="4"/>
        <v>W</v>
      </c>
      <c r="L18" s="49">
        <v>68</v>
      </c>
      <c r="M18" s="41" t="str">
        <f t="shared" si="5"/>
        <v>B</v>
      </c>
      <c r="N18" s="29">
        <v>16</v>
      </c>
      <c r="O18" s="41" t="str">
        <f t="shared" si="6"/>
        <v>W</v>
      </c>
      <c r="P18" s="332">
        <v>51</v>
      </c>
      <c r="Q18" s="309" t="str">
        <f t="shared" si="7"/>
        <v>C</v>
      </c>
      <c r="R18" s="51">
        <v>42</v>
      </c>
      <c r="S18" s="43" t="str">
        <f t="shared" si="8"/>
        <v>S</v>
      </c>
      <c r="T18" s="43">
        <v>40</v>
      </c>
      <c r="U18" s="43" t="str">
        <f t="shared" si="9"/>
        <v>S</v>
      </c>
      <c r="V18" s="52">
        <v>27</v>
      </c>
      <c r="W18" s="44" t="str">
        <f t="shared" si="20"/>
        <v>W</v>
      </c>
      <c r="X18" s="52"/>
      <c r="Y18" s="44"/>
      <c r="Z18" s="52"/>
      <c r="AA18" s="44"/>
      <c r="AB18" s="106">
        <v>37</v>
      </c>
      <c r="AC18" s="99" t="str">
        <f t="shared" si="10"/>
        <v>W</v>
      </c>
      <c r="AD18" s="106">
        <v>42</v>
      </c>
      <c r="AE18" s="99" t="str">
        <f t="shared" si="11"/>
        <v>S</v>
      </c>
      <c r="AF18" s="100">
        <f t="shared" si="12"/>
        <v>415</v>
      </c>
      <c r="AG18" s="101">
        <f t="shared" si="13"/>
        <v>34.5833333333333</v>
      </c>
      <c r="AH18" s="100">
        <f t="shared" si="14"/>
        <v>22</v>
      </c>
      <c r="AI18" s="36">
        <f t="shared" si="15"/>
        <v>0</v>
      </c>
      <c r="AJ18" s="36">
        <f t="shared" si="16"/>
        <v>1</v>
      </c>
      <c r="AK18" s="36">
        <f t="shared" si="17"/>
        <v>1</v>
      </c>
      <c r="AL18" s="36">
        <f t="shared" si="18"/>
        <v>3</v>
      </c>
      <c r="AM18" s="36">
        <f t="shared" si="0"/>
        <v>7</v>
      </c>
      <c r="AN18" s="37">
        <f t="shared" si="19"/>
        <v>0</v>
      </c>
    </row>
    <row r="19" ht="15" customHeight="1" spans="1:40">
      <c r="A19" s="24">
        <v>12</v>
      </c>
      <c r="B19" s="329" t="s">
        <v>266</v>
      </c>
      <c r="C19" s="95" t="s">
        <v>255</v>
      </c>
      <c r="D19" s="50">
        <v>45</v>
      </c>
      <c r="E19" s="29" t="str">
        <f t="shared" si="1"/>
        <v>S</v>
      </c>
      <c r="F19" s="29">
        <v>61</v>
      </c>
      <c r="G19" s="49" t="str">
        <f t="shared" si="2"/>
        <v>C</v>
      </c>
      <c r="H19" s="29">
        <v>89</v>
      </c>
      <c r="I19" s="29" t="str">
        <f t="shared" si="3"/>
        <v>A</v>
      </c>
      <c r="J19" s="50">
        <v>48</v>
      </c>
      <c r="K19" s="41" t="str">
        <f t="shared" si="4"/>
        <v>S</v>
      </c>
      <c r="L19" s="49">
        <v>79</v>
      </c>
      <c r="M19" s="41" t="str">
        <f t="shared" si="5"/>
        <v>A</v>
      </c>
      <c r="N19" s="29">
        <v>77</v>
      </c>
      <c r="O19" s="41" t="str">
        <f t="shared" si="6"/>
        <v>A</v>
      </c>
      <c r="P19" s="332">
        <v>74</v>
      </c>
      <c r="Q19" s="309" t="str">
        <f t="shared" si="7"/>
        <v>B</v>
      </c>
      <c r="R19" s="51">
        <v>75</v>
      </c>
      <c r="S19" s="43" t="str">
        <f t="shared" si="8"/>
        <v>A</v>
      </c>
      <c r="T19" s="43">
        <v>55</v>
      </c>
      <c r="U19" s="43" t="str">
        <f t="shared" si="9"/>
        <v>C</v>
      </c>
      <c r="V19" s="52">
        <v>61</v>
      </c>
      <c r="W19" s="44" t="str">
        <f t="shared" si="20"/>
        <v>C</v>
      </c>
      <c r="X19" s="52"/>
      <c r="Y19" s="44"/>
      <c r="Z19" s="333"/>
      <c r="AA19" s="44"/>
      <c r="AB19" s="106">
        <v>75</v>
      </c>
      <c r="AC19" s="99" t="str">
        <f t="shared" si="10"/>
        <v>A</v>
      </c>
      <c r="AD19" s="106">
        <v>45</v>
      </c>
      <c r="AE19" s="99" t="str">
        <f t="shared" si="11"/>
        <v>S</v>
      </c>
      <c r="AF19" s="100">
        <f t="shared" si="12"/>
        <v>784</v>
      </c>
      <c r="AG19" s="101">
        <f t="shared" si="13"/>
        <v>65.3333333333333</v>
      </c>
      <c r="AH19" s="100">
        <f t="shared" si="14"/>
        <v>6</v>
      </c>
      <c r="AI19" s="36">
        <f t="shared" si="15"/>
        <v>5</v>
      </c>
      <c r="AJ19" s="36">
        <f t="shared" si="16"/>
        <v>1</v>
      </c>
      <c r="AK19" s="36">
        <f t="shared" si="17"/>
        <v>3</v>
      </c>
      <c r="AL19" s="36">
        <f t="shared" si="18"/>
        <v>3</v>
      </c>
      <c r="AM19" s="36">
        <f t="shared" si="0"/>
        <v>0</v>
      </c>
      <c r="AN19" s="37">
        <f t="shared" si="19"/>
        <v>0</v>
      </c>
    </row>
    <row r="20" ht="15" customHeight="1" spans="1:40">
      <c r="A20" s="39">
        <v>13</v>
      </c>
      <c r="B20" s="329" t="s">
        <v>267</v>
      </c>
      <c r="C20" s="95" t="s">
        <v>255</v>
      </c>
      <c r="D20" s="29">
        <v>27</v>
      </c>
      <c r="E20" s="29" t="str">
        <f t="shared" si="1"/>
        <v>W</v>
      </c>
      <c r="F20" s="29">
        <v>17</v>
      </c>
      <c r="G20" s="49" t="str">
        <f t="shared" si="2"/>
        <v>W</v>
      </c>
      <c r="H20" s="29">
        <v>41</v>
      </c>
      <c r="I20" s="29" t="str">
        <f t="shared" si="3"/>
        <v>S</v>
      </c>
      <c r="J20" s="29">
        <v>28</v>
      </c>
      <c r="K20" s="41" t="str">
        <f t="shared" si="4"/>
        <v>W</v>
      </c>
      <c r="L20" s="41">
        <v>32</v>
      </c>
      <c r="M20" s="41" t="str">
        <f t="shared" si="5"/>
        <v>W</v>
      </c>
      <c r="N20" s="29">
        <v>39</v>
      </c>
      <c r="O20" s="41" t="str">
        <f t="shared" si="6"/>
        <v>W</v>
      </c>
      <c r="P20" s="51">
        <v>69</v>
      </c>
      <c r="Q20" s="309" t="str">
        <f t="shared" si="7"/>
        <v>B</v>
      </c>
      <c r="R20" s="51">
        <v>60</v>
      </c>
      <c r="S20" s="43" t="str">
        <f t="shared" si="8"/>
        <v>C</v>
      </c>
      <c r="T20" s="43">
        <v>28</v>
      </c>
      <c r="U20" s="43" t="str">
        <f t="shared" si="9"/>
        <v>W</v>
      </c>
      <c r="V20" s="52">
        <v>30</v>
      </c>
      <c r="W20" s="44" t="str">
        <f t="shared" si="20"/>
        <v>W</v>
      </c>
      <c r="X20" s="52"/>
      <c r="Y20" s="44"/>
      <c r="Z20" s="52"/>
      <c r="AA20" s="44"/>
      <c r="AB20" s="106">
        <v>57</v>
      </c>
      <c r="AC20" s="99" t="str">
        <f t="shared" si="10"/>
        <v>C</v>
      </c>
      <c r="AD20" s="106">
        <v>45</v>
      </c>
      <c r="AE20" s="99" t="str">
        <f t="shared" si="11"/>
        <v>S</v>
      </c>
      <c r="AF20" s="100">
        <f t="shared" si="12"/>
        <v>473</v>
      </c>
      <c r="AG20" s="101">
        <f t="shared" si="13"/>
        <v>39.4166666666667</v>
      </c>
      <c r="AH20" s="100">
        <f t="shared" si="14"/>
        <v>20</v>
      </c>
      <c r="AI20" s="36">
        <f t="shared" si="15"/>
        <v>0</v>
      </c>
      <c r="AJ20" s="36">
        <f t="shared" si="16"/>
        <v>1</v>
      </c>
      <c r="AK20" s="36">
        <f t="shared" si="17"/>
        <v>2</v>
      </c>
      <c r="AL20" s="36">
        <f t="shared" si="18"/>
        <v>2</v>
      </c>
      <c r="AM20" s="36">
        <f t="shared" si="0"/>
        <v>7</v>
      </c>
      <c r="AN20" s="37">
        <f t="shared" si="19"/>
        <v>0</v>
      </c>
    </row>
    <row r="21" ht="15" customHeight="1" spans="1:40">
      <c r="A21" s="24">
        <v>14</v>
      </c>
      <c r="B21" s="329" t="s">
        <v>268</v>
      </c>
      <c r="C21" s="95" t="s">
        <v>255</v>
      </c>
      <c r="D21" s="29">
        <v>35</v>
      </c>
      <c r="E21" s="29" t="str">
        <f t="shared" si="1"/>
        <v>W</v>
      </c>
      <c r="F21" s="29">
        <v>42</v>
      </c>
      <c r="G21" s="49" t="str">
        <f t="shared" si="2"/>
        <v>S</v>
      </c>
      <c r="H21" s="29">
        <v>75</v>
      </c>
      <c r="I21" s="29" t="str">
        <f t="shared" si="3"/>
        <v>A</v>
      </c>
      <c r="J21" s="50">
        <v>50</v>
      </c>
      <c r="K21" s="41" t="str">
        <f t="shared" si="4"/>
        <v>C</v>
      </c>
      <c r="L21" s="41">
        <v>60</v>
      </c>
      <c r="M21" s="41" t="str">
        <f t="shared" si="5"/>
        <v>C</v>
      </c>
      <c r="N21" s="29">
        <v>51</v>
      </c>
      <c r="O21" s="41" t="str">
        <f t="shared" si="6"/>
        <v>C</v>
      </c>
      <c r="P21" s="51">
        <v>73</v>
      </c>
      <c r="Q21" s="309" t="str">
        <f t="shared" si="7"/>
        <v>B</v>
      </c>
      <c r="R21" s="51">
        <v>59</v>
      </c>
      <c r="S21" s="43" t="str">
        <f t="shared" si="8"/>
        <v>C</v>
      </c>
      <c r="T21" s="43">
        <v>18</v>
      </c>
      <c r="U21" s="43" t="str">
        <f t="shared" si="9"/>
        <v>W</v>
      </c>
      <c r="V21" s="52"/>
      <c r="W21" s="44"/>
      <c r="X21" s="52">
        <v>60</v>
      </c>
      <c r="Y21" s="44" t="str">
        <f t="shared" ref="Y21:Y36" si="22">IF(X21&gt;=75,"A",IF(X21&gt;=65,"B",IF(X21&gt;=50,"C",IF(X21&gt;=40,"S","W"))))</f>
        <v>C</v>
      </c>
      <c r="Z21" s="52"/>
      <c r="AA21" s="44"/>
      <c r="AB21" s="106">
        <v>66</v>
      </c>
      <c r="AC21" s="99" t="str">
        <f t="shared" si="10"/>
        <v>B</v>
      </c>
      <c r="AD21" s="106">
        <v>88</v>
      </c>
      <c r="AE21" s="99" t="str">
        <f t="shared" si="11"/>
        <v>A</v>
      </c>
      <c r="AF21" s="100">
        <f t="shared" si="12"/>
        <v>677</v>
      </c>
      <c r="AG21" s="101">
        <f t="shared" si="13"/>
        <v>56.4166666666667</v>
      </c>
      <c r="AH21" s="100">
        <f t="shared" si="14"/>
        <v>10</v>
      </c>
      <c r="AI21" s="36">
        <f t="shared" si="15"/>
        <v>2</v>
      </c>
      <c r="AJ21" s="36">
        <f t="shared" si="16"/>
        <v>2</v>
      </c>
      <c r="AK21" s="36">
        <f t="shared" si="17"/>
        <v>5</v>
      </c>
      <c r="AL21" s="36">
        <f t="shared" si="18"/>
        <v>1</v>
      </c>
      <c r="AM21" s="36">
        <f t="shared" si="0"/>
        <v>2</v>
      </c>
      <c r="AN21" s="37">
        <f t="shared" si="19"/>
        <v>0</v>
      </c>
    </row>
    <row r="22" ht="15" customHeight="1" spans="1:40">
      <c r="A22" s="39">
        <v>15</v>
      </c>
      <c r="B22" s="329" t="s">
        <v>269</v>
      </c>
      <c r="C22" s="95" t="s">
        <v>255</v>
      </c>
      <c r="D22" s="29">
        <v>20</v>
      </c>
      <c r="E22" s="29" t="str">
        <f t="shared" si="1"/>
        <v>W</v>
      </c>
      <c r="F22" s="29">
        <v>34</v>
      </c>
      <c r="G22" s="49" t="str">
        <f t="shared" si="2"/>
        <v>W</v>
      </c>
      <c r="H22" s="29">
        <v>56</v>
      </c>
      <c r="I22" s="29" t="str">
        <f t="shared" si="3"/>
        <v>C</v>
      </c>
      <c r="J22" s="50">
        <v>50</v>
      </c>
      <c r="K22" s="41" t="str">
        <f t="shared" si="4"/>
        <v>C</v>
      </c>
      <c r="L22" s="41">
        <v>53</v>
      </c>
      <c r="M22" s="41" t="str">
        <f t="shared" si="5"/>
        <v>C</v>
      </c>
      <c r="N22" s="29">
        <v>16</v>
      </c>
      <c r="O22" s="41" t="str">
        <f t="shared" si="6"/>
        <v>W</v>
      </c>
      <c r="P22" s="51">
        <v>47</v>
      </c>
      <c r="Q22" s="309" t="str">
        <f t="shared" si="7"/>
        <v>S</v>
      </c>
      <c r="R22" s="51">
        <v>46</v>
      </c>
      <c r="S22" s="43" t="str">
        <f t="shared" si="8"/>
        <v>S</v>
      </c>
      <c r="T22" s="43">
        <v>22</v>
      </c>
      <c r="U22" s="43" t="str">
        <f t="shared" si="9"/>
        <v>W</v>
      </c>
      <c r="V22" s="52">
        <v>35</v>
      </c>
      <c r="W22" s="44" t="str">
        <f t="shared" si="20"/>
        <v>W</v>
      </c>
      <c r="X22" s="52"/>
      <c r="Y22" s="44"/>
      <c r="Z22" s="52"/>
      <c r="AA22" s="44"/>
      <c r="AB22" s="106">
        <v>70</v>
      </c>
      <c r="AC22" s="99" t="str">
        <f t="shared" si="10"/>
        <v>B</v>
      </c>
      <c r="AD22" s="334">
        <v>45</v>
      </c>
      <c r="AE22" s="99" t="str">
        <f t="shared" si="11"/>
        <v>S</v>
      </c>
      <c r="AF22" s="100">
        <f t="shared" si="12"/>
        <v>494</v>
      </c>
      <c r="AG22" s="101">
        <f t="shared" si="13"/>
        <v>41.1666666666667</v>
      </c>
      <c r="AH22" s="100">
        <f t="shared" si="14"/>
        <v>19</v>
      </c>
      <c r="AI22" s="36">
        <f t="shared" si="15"/>
        <v>0</v>
      </c>
      <c r="AJ22" s="36">
        <f t="shared" si="16"/>
        <v>1</v>
      </c>
      <c r="AK22" s="36">
        <f t="shared" si="17"/>
        <v>3</v>
      </c>
      <c r="AL22" s="36">
        <f t="shared" si="18"/>
        <v>3</v>
      </c>
      <c r="AM22" s="36">
        <f t="shared" si="0"/>
        <v>5</v>
      </c>
      <c r="AN22" s="37">
        <f t="shared" si="19"/>
        <v>0</v>
      </c>
    </row>
    <row r="23" ht="15" customHeight="1" spans="1:40">
      <c r="A23" s="24">
        <v>16</v>
      </c>
      <c r="B23" s="329" t="s">
        <v>270</v>
      </c>
      <c r="C23" s="95" t="s">
        <v>255</v>
      </c>
      <c r="D23" s="29">
        <v>30</v>
      </c>
      <c r="E23" s="29" t="str">
        <f t="shared" si="1"/>
        <v>W</v>
      </c>
      <c r="F23" s="29">
        <v>13</v>
      </c>
      <c r="G23" s="49" t="str">
        <f t="shared" si="2"/>
        <v>W</v>
      </c>
      <c r="H23" s="29">
        <v>41</v>
      </c>
      <c r="I23" s="29" t="str">
        <f t="shared" si="3"/>
        <v>S</v>
      </c>
      <c r="J23" s="50">
        <v>52</v>
      </c>
      <c r="K23" s="41" t="str">
        <f t="shared" si="4"/>
        <v>C</v>
      </c>
      <c r="L23" s="41">
        <v>36</v>
      </c>
      <c r="M23" s="41" t="str">
        <f t="shared" si="5"/>
        <v>W</v>
      </c>
      <c r="N23" s="29">
        <v>37</v>
      </c>
      <c r="O23" s="41" t="str">
        <f t="shared" si="6"/>
        <v>W</v>
      </c>
      <c r="P23" s="51">
        <v>66</v>
      </c>
      <c r="Q23" s="309" t="str">
        <f t="shared" si="7"/>
        <v>B</v>
      </c>
      <c r="R23" s="51">
        <v>62</v>
      </c>
      <c r="S23" s="43" t="str">
        <f t="shared" si="8"/>
        <v>C</v>
      </c>
      <c r="T23" s="43">
        <v>21</v>
      </c>
      <c r="U23" s="43" t="str">
        <f t="shared" si="9"/>
        <v>W</v>
      </c>
      <c r="V23" s="52"/>
      <c r="W23" s="44"/>
      <c r="X23" s="52">
        <v>49</v>
      </c>
      <c r="Y23" s="44" t="str">
        <f t="shared" si="22"/>
        <v>S</v>
      </c>
      <c r="Z23" s="52"/>
      <c r="AA23" s="44"/>
      <c r="AB23" s="106">
        <v>44</v>
      </c>
      <c r="AC23" s="99" t="str">
        <f t="shared" si="10"/>
        <v>S</v>
      </c>
      <c r="AD23" s="334">
        <v>97</v>
      </c>
      <c r="AE23" s="99" t="str">
        <f t="shared" si="11"/>
        <v>A</v>
      </c>
      <c r="AF23" s="100">
        <f t="shared" si="12"/>
        <v>548</v>
      </c>
      <c r="AG23" s="101">
        <f t="shared" si="13"/>
        <v>45.6666666666667</v>
      </c>
      <c r="AH23" s="100">
        <f t="shared" si="14"/>
        <v>16</v>
      </c>
      <c r="AI23" s="36">
        <f t="shared" si="15"/>
        <v>1</v>
      </c>
      <c r="AJ23" s="36">
        <f t="shared" si="16"/>
        <v>1</v>
      </c>
      <c r="AK23" s="36">
        <f t="shared" si="17"/>
        <v>2</v>
      </c>
      <c r="AL23" s="36">
        <f t="shared" si="18"/>
        <v>3</v>
      </c>
      <c r="AM23" s="36">
        <f t="shared" si="0"/>
        <v>5</v>
      </c>
      <c r="AN23" s="37">
        <f t="shared" si="19"/>
        <v>0</v>
      </c>
    </row>
    <row r="24" ht="15" customHeight="1" spans="1:40">
      <c r="A24" s="24">
        <v>17</v>
      </c>
      <c r="B24" s="329" t="s">
        <v>271</v>
      </c>
      <c r="C24" s="95" t="s">
        <v>255</v>
      </c>
      <c r="D24" s="46" t="s">
        <v>29</v>
      </c>
      <c r="E24" s="46" t="s">
        <v>29</v>
      </c>
      <c r="F24" s="46" t="s">
        <v>29</v>
      </c>
      <c r="G24" s="46" t="s">
        <v>29</v>
      </c>
      <c r="H24" s="46" t="s">
        <v>29</v>
      </c>
      <c r="I24" s="46" t="s">
        <v>29</v>
      </c>
      <c r="J24" s="46" t="s">
        <v>29</v>
      </c>
      <c r="K24" s="46" t="s">
        <v>29</v>
      </c>
      <c r="L24" s="335" t="s">
        <v>29</v>
      </c>
      <c r="M24" s="335" t="s">
        <v>29</v>
      </c>
      <c r="N24" s="335" t="s">
        <v>29</v>
      </c>
      <c r="O24" s="335" t="s">
        <v>29</v>
      </c>
      <c r="P24" s="336" t="s">
        <v>29</v>
      </c>
      <c r="Q24" s="336" t="s">
        <v>29</v>
      </c>
      <c r="R24" s="336" t="s">
        <v>29</v>
      </c>
      <c r="S24" s="336" t="s">
        <v>29</v>
      </c>
      <c r="T24" s="336" t="s">
        <v>29</v>
      </c>
      <c r="U24" s="336" t="s">
        <v>29</v>
      </c>
      <c r="V24" s="52"/>
      <c r="W24" s="44"/>
      <c r="X24" s="333" t="s">
        <v>29</v>
      </c>
      <c r="Y24" s="333" t="s">
        <v>29</v>
      </c>
      <c r="Z24" s="52"/>
      <c r="AA24" s="44"/>
      <c r="AB24" s="337" t="s">
        <v>29</v>
      </c>
      <c r="AC24" s="337" t="s">
        <v>29</v>
      </c>
      <c r="AD24" s="334">
        <v>46</v>
      </c>
      <c r="AE24" s="99" t="str">
        <f t="shared" si="11"/>
        <v>S</v>
      </c>
      <c r="AF24" s="100">
        <f t="shared" si="12"/>
        <v>46</v>
      </c>
      <c r="AG24" s="101">
        <f t="shared" si="13"/>
        <v>46</v>
      </c>
      <c r="AH24" s="100">
        <f t="shared" si="14"/>
        <v>31</v>
      </c>
      <c r="AI24" s="36">
        <f t="shared" si="15"/>
        <v>0</v>
      </c>
      <c r="AJ24" s="36">
        <f t="shared" si="16"/>
        <v>0</v>
      </c>
      <c r="AK24" s="36">
        <f t="shared" si="17"/>
        <v>0</v>
      </c>
      <c r="AL24" s="36">
        <f t="shared" si="18"/>
        <v>1</v>
      </c>
      <c r="AM24" s="36">
        <f t="shared" ref="AM24:AM38" si="23">COUNTIF(D24:AE24,"W")</f>
        <v>0</v>
      </c>
      <c r="AN24" s="37">
        <f t="shared" si="19"/>
        <v>11</v>
      </c>
    </row>
    <row r="25" ht="15" customHeight="1" spans="1:40">
      <c r="A25" s="39">
        <v>18</v>
      </c>
      <c r="B25" s="329" t="s">
        <v>272</v>
      </c>
      <c r="C25" s="95" t="s">
        <v>255</v>
      </c>
      <c r="D25" s="29">
        <v>12</v>
      </c>
      <c r="E25" s="29" t="str">
        <f t="shared" si="1"/>
        <v>W</v>
      </c>
      <c r="F25" s="29">
        <v>4</v>
      </c>
      <c r="G25" s="49" t="str">
        <f t="shared" si="2"/>
        <v>W</v>
      </c>
      <c r="H25" s="29">
        <v>21</v>
      </c>
      <c r="I25" s="29" t="str">
        <f t="shared" si="3"/>
        <v>W</v>
      </c>
      <c r="J25" s="50">
        <v>20</v>
      </c>
      <c r="K25" s="41" t="str">
        <f t="shared" si="4"/>
        <v>W</v>
      </c>
      <c r="L25" s="41">
        <v>26</v>
      </c>
      <c r="M25" s="41" t="str">
        <f t="shared" si="5"/>
        <v>W</v>
      </c>
      <c r="N25" s="29">
        <v>20</v>
      </c>
      <c r="O25" s="41" t="str">
        <f t="shared" si="6"/>
        <v>W</v>
      </c>
      <c r="P25" s="51">
        <v>52</v>
      </c>
      <c r="Q25" s="309" t="str">
        <f t="shared" si="7"/>
        <v>C</v>
      </c>
      <c r="R25" s="51">
        <v>28</v>
      </c>
      <c r="S25" s="43" t="str">
        <f t="shared" si="8"/>
        <v>W</v>
      </c>
      <c r="T25" s="43">
        <v>16</v>
      </c>
      <c r="U25" s="43" t="str">
        <f t="shared" si="9"/>
        <v>W</v>
      </c>
      <c r="V25" s="52"/>
      <c r="W25" s="44"/>
      <c r="X25" s="52"/>
      <c r="Y25" s="44"/>
      <c r="Z25" s="52">
        <v>39</v>
      </c>
      <c r="AA25" s="44" t="str">
        <f t="shared" si="21"/>
        <v>W</v>
      </c>
      <c r="AB25" s="106">
        <v>18</v>
      </c>
      <c r="AC25" s="99" t="str">
        <f t="shared" si="10"/>
        <v>W</v>
      </c>
      <c r="AD25" s="334">
        <v>40</v>
      </c>
      <c r="AE25" s="99" t="str">
        <f t="shared" si="11"/>
        <v>S</v>
      </c>
      <c r="AF25" s="100">
        <f t="shared" si="12"/>
        <v>296</v>
      </c>
      <c r="AG25" s="101">
        <f t="shared" si="13"/>
        <v>24.6666666666667</v>
      </c>
      <c r="AH25" s="100">
        <f t="shared" si="14"/>
        <v>28</v>
      </c>
      <c r="AI25" s="36">
        <f t="shared" si="15"/>
        <v>0</v>
      </c>
      <c r="AJ25" s="36">
        <f t="shared" si="16"/>
        <v>0</v>
      </c>
      <c r="AK25" s="36">
        <f t="shared" si="17"/>
        <v>1</v>
      </c>
      <c r="AL25" s="36">
        <f t="shared" si="18"/>
        <v>1</v>
      </c>
      <c r="AM25" s="36">
        <f t="shared" si="23"/>
        <v>10</v>
      </c>
      <c r="AN25" s="37">
        <f t="shared" si="19"/>
        <v>0</v>
      </c>
    </row>
    <row r="26" ht="15" customHeight="1" spans="1:40">
      <c r="A26" s="24">
        <v>19</v>
      </c>
      <c r="B26" s="329" t="s">
        <v>273</v>
      </c>
      <c r="C26" s="95" t="s">
        <v>255</v>
      </c>
      <c r="D26" s="29">
        <v>70</v>
      </c>
      <c r="E26" s="29" t="str">
        <f t="shared" si="1"/>
        <v>B</v>
      </c>
      <c r="F26" s="29">
        <v>35</v>
      </c>
      <c r="G26" s="49" t="str">
        <f t="shared" si="2"/>
        <v>W</v>
      </c>
      <c r="H26" s="29">
        <v>72</v>
      </c>
      <c r="I26" s="29" t="str">
        <f t="shared" si="3"/>
        <v>B</v>
      </c>
      <c r="J26" s="50">
        <v>58</v>
      </c>
      <c r="K26" s="41" t="str">
        <f t="shared" si="4"/>
        <v>C</v>
      </c>
      <c r="L26" s="41">
        <v>59</v>
      </c>
      <c r="M26" s="41" t="str">
        <f t="shared" si="5"/>
        <v>C</v>
      </c>
      <c r="N26" s="29">
        <v>56</v>
      </c>
      <c r="O26" s="41" t="str">
        <f t="shared" si="6"/>
        <v>C</v>
      </c>
      <c r="P26" s="51">
        <v>93</v>
      </c>
      <c r="Q26" s="309" t="str">
        <f t="shared" si="7"/>
        <v>A</v>
      </c>
      <c r="R26" s="51">
        <v>75</v>
      </c>
      <c r="S26" s="43" t="str">
        <f t="shared" si="8"/>
        <v>A</v>
      </c>
      <c r="T26" s="43">
        <v>59</v>
      </c>
      <c r="U26" s="43" t="str">
        <f t="shared" si="9"/>
        <v>C</v>
      </c>
      <c r="V26" s="52"/>
      <c r="W26" s="44"/>
      <c r="X26" s="52">
        <v>84</v>
      </c>
      <c r="Y26" s="44" t="str">
        <f t="shared" si="22"/>
        <v>A</v>
      </c>
      <c r="Z26" s="52"/>
      <c r="AA26" s="44"/>
      <c r="AB26" s="106">
        <v>70</v>
      </c>
      <c r="AC26" s="99" t="str">
        <f t="shared" si="10"/>
        <v>B</v>
      </c>
      <c r="AD26" s="334">
        <v>98</v>
      </c>
      <c r="AE26" s="99" t="str">
        <f t="shared" si="11"/>
        <v>A</v>
      </c>
      <c r="AF26" s="100">
        <f t="shared" si="12"/>
        <v>829</v>
      </c>
      <c r="AG26" s="101">
        <f t="shared" si="13"/>
        <v>69.0833333333333</v>
      </c>
      <c r="AH26" s="100">
        <f t="shared" si="14"/>
        <v>5</v>
      </c>
      <c r="AI26" s="36">
        <f t="shared" si="15"/>
        <v>4</v>
      </c>
      <c r="AJ26" s="36">
        <f t="shared" si="16"/>
        <v>3</v>
      </c>
      <c r="AK26" s="36">
        <f t="shared" si="17"/>
        <v>4</v>
      </c>
      <c r="AL26" s="36">
        <f t="shared" si="18"/>
        <v>0</v>
      </c>
      <c r="AM26" s="36">
        <f t="shared" si="23"/>
        <v>1</v>
      </c>
      <c r="AN26" s="37">
        <f t="shared" si="19"/>
        <v>0</v>
      </c>
    </row>
    <row r="27" ht="15" customHeight="1" spans="1:40">
      <c r="A27" s="39">
        <v>20</v>
      </c>
      <c r="B27" s="329" t="s">
        <v>274</v>
      </c>
      <c r="C27" s="95" t="s">
        <v>255</v>
      </c>
      <c r="D27" s="50">
        <v>52</v>
      </c>
      <c r="E27" s="50" t="str">
        <f t="shared" si="1"/>
        <v>C</v>
      </c>
      <c r="F27" s="29">
        <v>15</v>
      </c>
      <c r="G27" s="49" t="str">
        <f t="shared" si="2"/>
        <v>W</v>
      </c>
      <c r="H27" s="29">
        <v>62</v>
      </c>
      <c r="I27" s="29" t="str">
        <f t="shared" si="3"/>
        <v>C</v>
      </c>
      <c r="J27" s="50">
        <v>53</v>
      </c>
      <c r="K27" s="41" t="str">
        <f t="shared" si="4"/>
        <v>C</v>
      </c>
      <c r="L27" s="41">
        <v>52</v>
      </c>
      <c r="M27" s="41" t="str">
        <f t="shared" si="5"/>
        <v>C</v>
      </c>
      <c r="N27" s="29">
        <v>41</v>
      </c>
      <c r="O27" s="41" t="str">
        <f t="shared" si="6"/>
        <v>S</v>
      </c>
      <c r="P27" s="51">
        <v>70</v>
      </c>
      <c r="Q27" s="309" t="str">
        <f t="shared" si="7"/>
        <v>B</v>
      </c>
      <c r="R27" s="51">
        <v>46</v>
      </c>
      <c r="S27" s="43" t="str">
        <f t="shared" si="8"/>
        <v>S</v>
      </c>
      <c r="T27" s="43">
        <v>28</v>
      </c>
      <c r="U27" s="43" t="str">
        <f t="shared" si="9"/>
        <v>W</v>
      </c>
      <c r="V27" s="52">
        <v>62</v>
      </c>
      <c r="W27" s="44" t="str">
        <f t="shared" si="20"/>
        <v>C</v>
      </c>
      <c r="X27" s="52"/>
      <c r="Y27" s="44"/>
      <c r="Z27" s="52"/>
      <c r="AA27" s="44"/>
      <c r="AB27" s="106">
        <v>57</v>
      </c>
      <c r="AC27" s="99" t="str">
        <f t="shared" si="10"/>
        <v>C</v>
      </c>
      <c r="AD27" s="334">
        <v>50</v>
      </c>
      <c r="AE27" s="99" t="str">
        <f t="shared" si="11"/>
        <v>C</v>
      </c>
      <c r="AF27" s="100">
        <f t="shared" si="12"/>
        <v>588</v>
      </c>
      <c r="AG27" s="101">
        <f t="shared" si="13"/>
        <v>49</v>
      </c>
      <c r="AH27" s="100">
        <f t="shared" si="14"/>
        <v>14</v>
      </c>
      <c r="AI27" s="36">
        <f t="shared" si="15"/>
        <v>0</v>
      </c>
      <c r="AJ27" s="36">
        <f t="shared" si="16"/>
        <v>1</v>
      </c>
      <c r="AK27" s="36">
        <f t="shared" si="17"/>
        <v>7</v>
      </c>
      <c r="AL27" s="36">
        <f t="shared" si="18"/>
        <v>2</v>
      </c>
      <c r="AM27" s="36">
        <f t="shared" si="23"/>
        <v>2</v>
      </c>
      <c r="AN27" s="37">
        <f t="shared" si="19"/>
        <v>0</v>
      </c>
    </row>
    <row r="28" ht="15" customHeight="1" spans="1:40">
      <c r="A28" s="24">
        <v>21</v>
      </c>
      <c r="B28" s="329" t="s">
        <v>275</v>
      </c>
      <c r="C28" s="95" t="s">
        <v>255</v>
      </c>
      <c r="D28" s="50">
        <v>45</v>
      </c>
      <c r="E28" s="50" t="str">
        <f t="shared" si="1"/>
        <v>S</v>
      </c>
      <c r="F28" s="29">
        <v>13</v>
      </c>
      <c r="G28" s="49" t="str">
        <f t="shared" si="2"/>
        <v>W</v>
      </c>
      <c r="H28" s="29">
        <v>60</v>
      </c>
      <c r="I28" s="29" t="str">
        <f t="shared" si="3"/>
        <v>C</v>
      </c>
      <c r="J28" s="50">
        <v>39</v>
      </c>
      <c r="K28" s="41" t="str">
        <f t="shared" si="4"/>
        <v>W</v>
      </c>
      <c r="L28" s="41">
        <v>46</v>
      </c>
      <c r="M28" s="41" t="str">
        <f t="shared" si="5"/>
        <v>S</v>
      </c>
      <c r="N28" s="29">
        <v>69</v>
      </c>
      <c r="O28" s="41" t="str">
        <f t="shared" si="6"/>
        <v>B</v>
      </c>
      <c r="P28" s="51">
        <v>59</v>
      </c>
      <c r="Q28" s="309" t="str">
        <f t="shared" si="7"/>
        <v>C</v>
      </c>
      <c r="R28" s="51">
        <v>50</v>
      </c>
      <c r="S28" s="43" t="str">
        <f t="shared" si="8"/>
        <v>C</v>
      </c>
      <c r="T28" s="43">
        <v>28</v>
      </c>
      <c r="U28" s="43" t="str">
        <f t="shared" si="9"/>
        <v>W</v>
      </c>
      <c r="V28" s="52"/>
      <c r="W28" s="44"/>
      <c r="X28" s="52">
        <v>48</v>
      </c>
      <c r="Y28" s="44" t="str">
        <f t="shared" si="22"/>
        <v>S</v>
      </c>
      <c r="Z28" s="52"/>
      <c r="AA28" s="44"/>
      <c r="AB28" s="106">
        <v>50</v>
      </c>
      <c r="AC28" s="99" t="str">
        <f t="shared" si="10"/>
        <v>C</v>
      </c>
      <c r="AD28" s="334">
        <v>95</v>
      </c>
      <c r="AE28" s="99" t="str">
        <f t="shared" si="11"/>
        <v>A</v>
      </c>
      <c r="AF28" s="100">
        <f t="shared" si="12"/>
        <v>602</v>
      </c>
      <c r="AG28" s="101">
        <f t="shared" si="13"/>
        <v>50.1666666666667</v>
      </c>
      <c r="AH28" s="100">
        <f t="shared" si="14"/>
        <v>13</v>
      </c>
      <c r="AI28" s="36">
        <f t="shared" si="15"/>
        <v>1</v>
      </c>
      <c r="AJ28" s="36">
        <f t="shared" si="16"/>
        <v>1</v>
      </c>
      <c r="AK28" s="36">
        <f t="shared" si="17"/>
        <v>4</v>
      </c>
      <c r="AL28" s="36">
        <f t="shared" si="18"/>
        <v>3</v>
      </c>
      <c r="AM28" s="36">
        <f t="shared" si="23"/>
        <v>3</v>
      </c>
      <c r="AN28" s="37">
        <f t="shared" si="19"/>
        <v>0</v>
      </c>
    </row>
    <row r="29" ht="15" customHeight="1" spans="1:40">
      <c r="A29" s="39">
        <v>22</v>
      </c>
      <c r="B29" s="329" t="s">
        <v>276</v>
      </c>
      <c r="C29" s="95" t="s">
        <v>255</v>
      </c>
      <c r="D29" s="50">
        <v>11</v>
      </c>
      <c r="E29" s="50" t="str">
        <f t="shared" si="1"/>
        <v>W</v>
      </c>
      <c r="F29" s="46" t="s">
        <v>29</v>
      </c>
      <c r="G29" s="46" t="s">
        <v>29</v>
      </c>
      <c r="H29" s="335" t="s">
        <v>29</v>
      </c>
      <c r="I29" s="335" t="s">
        <v>29</v>
      </c>
      <c r="J29" s="50">
        <v>1</v>
      </c>
      <c r="K29" s="41" t="str">
        <f t="shared" si="4"/>
        <v>W</v>
      </c>
      <c r="L29" s="335" t="s">
        <v>29</v>
      </c>
      <c r="M29" s="335" t="s">
        <v>29</v>
      </c>
      <c r="N29" s="29">
        <v>5</v>
      </c>
      <c r="O29" s="41" t="str">
        <f t="shared" si="6"/>
        <v>W</v>
      </c>
      <c r="P29" s="51">
        <v>20</v>
      </c>
      <c r="Q29" s="309" t="str">
        <f t="shared" si="7"/>
        <v>W</v>
      </c>
      <c r="R29" s="336" t="s">
        <v>29</v>
      </c>
      <c r="S29" s="336" t="s">
        <v>29</v>
      </c>
      <c r="T29" s="336" t="s">
        <v>29</v>
      </c>
      <c r="U29" s="336" t="s">
        <v>29</v>
      </c>
      <c r="V29" s="42" t="s">
        <v>29</v>
      </c>
      <c r="W29" s="42" t="s">
        <v>29</v>
      </c>
      <c r="X29" s="52"/>
      <c r="Y29" s="44"/>
      <c r="Z29" s="52"/>
      <c r="AA29" s="44"/>
      <c r="AB29" s="337" t="s">
        <v>29</v>
      </c>
      <c r="AC29" s="337" t="s">
        <v>29</v>
      </c>
      <c r="AD29" s="334">
        <v>20</v>
      </c>
      <c r="AE29" s="99" t="str">
        <f t="shared" si="11"/>
        <v>W</v>
      </c>
      <c r="AF29" s="100">
        <f t="shared" si="12"/>
        <v>57</v>
      </c>
      <c r="AG29" s="101">
        <f t="shared" si="13"/>
        <v>11.4</v>
      </c>
      <c r="AH29" s="100">
        <f t="shared" si="14"/>
        <v>30</v>
      </c>
      <c r="AI29" s="36">
        <f t="shared" si="15"/>
        <v>0</v>
      </c>
      <c r="AJ29" s="36">
        <f t="shared" si="16"/>
        <v>0</v>
      </c>
      <c r="AK29" s="36">
        <f t="shared" si="17"/>
        <v>0</v>
      </c>
      <c r="AL29" s="36">
        <f t="shared" si="18"/>
        <v>0</v>
      </c>
      <c r="AM29" s="36">
        <f t="shared" si="23"/>
        <v>5</v>
      </c>
      <c r="AN29" s="37">
        <f t="shared" si="19"/>
        <v>7</v>
      </c>
    </row>
    <row r="30" ht="15" customHeight="1" spans="1:40">
      <c r="A30" s="24">
        <v>23</v>
      </c>
      <c r="B30" s="329" t="s">
        <v>277</v>
      </c>
      <c r="C30" s="95" t="s">
        <v>255</v>
      </c>
      <c r="D30" s="50">
        <v>78</v>
      </c>
      <c r="E30" s="50" t="str">
        <f t="shared" si="1"/>
        <v>A</v>
      </c>
      <c r="F30" s="29">
        <v>30</v>
      </c>
      <c r="G30" s="49" t="str">
        <f t="shared" si="2"/>
        <v>W</v>
      </c>
      <c r="H30" s="29">
        <v>83</v>
      </c>
      <c r="I30" s="29" t="str">
        <f t="shared" si="3"/>
        <v>A</v>
      </c>
      <c r="J30" s="50">
        <v>62</v>
      </c>
      <c r="K30" s="41" t="str">
        <f t="shared" si="4"/>
        <v>C</v>
      </c>
      <c r="L30" s="41">
        <v>44</v>
      </c>
      <c r="M30" s="41" t="str">
        <f t="shared" si="5"/>
        <v>S</v>
      </c>
      <c r="N30" s="29">
        <v>76</v>
      </c>
      <c r="O30" s="41" t="str">
        <f t="shared" si="6"/>
        <v>A</v>
      </c>
      <c r="P30" s="51">
        <v>95</v>
      </c>
      <c r="Q30" s="309" t="str">
        <f t="shared" si="7"/>
        <v>A</v>
      </c>
      <c r="R30" s="51">
        <v>91</v>
      </c>
      <c r="S30" s="43" t="str">
        <f t="shared" si="8"/>
        <v>A</v>
      </c>
      <c r="T30" s="43">
        <v>56</v>
      </c>
      <c r="U30" s="43" t="str">
        <f t="shared" si="9"/>
        <v>C</v>
      </c>
      <c r="V30" s="52"/>
      <c r="W30" s="44"/>
      <c r="X30" s="52">
        <v>71</v>
      </c>
      <c r="Y30" s="44" t="str">
        <f t="shared" si="22"/>
        <v>B</v>
      </c>
      <c r="Z30" s="52"/>
      <c r="AA30" s="44"/>
      <c r="AB30" s="106">
        <v>69</v>
      </c>
      <c r="AC30" s="99" t="str">
        <f t="shared" si="10"/>
        <v>B</v>
      </c>
      <c r="AD30" s="334">
        <v>98</v>
      </c>
      <c r="AE30" s="99" t="str">
        <f t="shared" si="11"/>
        <v>A</v>
      </c>
      <c r="AF30" s="100">
        <f t="shared" si="12"/>
        <v>853</v>
      </c>
      <c r="AG30" s="101">
        <f t="shared" si="13"/>
        <v>71.0833333333333</v>
      </c>
      <c r="AH30" s="100">
        <f t="shared" si="14"/>
        <v>4</v>
      </c>
      <c r="AI30" s="36">
        <f t="shared" si="15"/>
        <v>6</v>
      </c>
      <c r="AJ30" s="36">
        <f t="shared" si="16"/>
        <v>2</v>
      </c>
      <c r="AK30" s="36">
        <f t="shared" si="17"/>
        <v>2</v>
      </c>
      <c r="AL30" s="36">
        <f t="shared" si="18"/>
        <v>1</v>
      </c>
      <c r="AM30" s="36">
        <f t="shared" si="23"/>
        <v>1</v>
      </c>
      <c r="AN30" s="37">
        <f t="shared" si="19"/>
        <v>0</v>
      </c>
    </row>
    <row r="31" ht="15" customHeight="1" spans="1:40">
      <c r="A31" s="39">
        <v>24</v>
      </c>
      <c r="B31" s="329" t="s">
        <v>278</v>
      </c>
      <c r="C31" s="95" t="s">
        <v>255</v>
      </c>
      <c r="D31" s="50">
        <v>70</v>
      </c>
      <c r="E31" s="50" t="str">
        <f t="shared" si="1"/>
        <v>B</v>
      </c>
      <c r="F31" s="29">
        <v>30</v>
      </c>
      <c r="G31" s="49" t="str">
        <f t="shared" si="2"/>
        <v>W</v>
      </c>
      <c r="H31" s="29">
        <v>92</v>
      </c>
      <c r="I31" s="29" t="str">
        <f t="shared" si="3"/>
        <v>A</v>
      </c>
      <c r="J31" s="50">
        <v>60</v>
      </c>
      <c r="K31" s="41" t="str">
        <f t="shared" si="4"/>
        <v>C</v>
      </c>
      <c r="L31" s="41">
        <v>75</v>
      </c>
      <c r="M31" s="41" t="str">
        <f t="shared" si="5"/>
        <v>A</v>
      </c>
      <c r="N31" s="29">
        <v>75</v>
      </c>
      <c r="O31" s="41" t="str">
        <f t="shared" si="6"/>
        <v>A</v>
      </c>
      <c r="P31" s="51">
        <v>97</v>
      </c>
      <c r="Q31" s="309" t="str">
        <f t="shared" si="7"/>
        <v>A</v>
      </c>
      <c r="R31" s="51">
        <v>92</v>
      </c>
      <c r="S31" s="43" t="str">
        <f t="shared" si="8"/>
        <v>A</v>
      </c>
      <c r="T31" s="43">
        <v>72</v>
      </c>
      <c r="U31" s="43" t="str">
        <f t="shared" si="9"/>
        <v>B</v>
      </c>
      <c r="V31" s="52"/>
      <c r="W31" s="44"/>
      <c r="X31" s="52">
        <v>79</v>
      </c>
      <c r="Y31" s="44" t="str">
        <f t="shared" si="22"/>
        <v>A</v>
      </c>
      <c r="Z31" s="52"/>
      <c r="AA31" s="44"/>
      <c r="AB31" s="106">
        <v>67</v>
      </c>
      <c r="AC31" s="99" t="str">
        <f t="shared" si="10"/>
        <v>B</v>
      </c>
      <c r="AD31" s="334">
        <v>98</v>
      </c>
      <c r="AE31" s="99" t="str">
        <f t="shared" si="11"/>
        <v>A</v>
      </c>
      <c r="AF31" s="100">
        <f t="shared" si="12"/>
        <v>907</v>
      </c>
      <c r="AG31" s="101">
        <f t="shared" si="13"/>
        <v>75.5833333333333</v>
      </c>
      <c r="AH31" s="100">
        <f t="shared" si="14"/>
        <v>1</v>
      </c>
      <c r="AI31" s="36">
        <f t="shared" si="15"/>
        <v>7</v>
      </c>
      <c r="AJ31" s="36">
        <f t="shared" si="16"/>
        <v>3</v>
      </c>
      <c r="AK31" s="36">
        <f t="shared" si="17"/>
        <v>1</v>
      </c>
      <c r="AL31" s="36">
        <f t="shared" si="18"/>
        <v>0</v>
      </c>
      <c r="AM31" s="36">
        <f t="shared" si="23"/>
        <v>1</v>
      </c>
      <c r="AN31" s="37">
        <f t="shared" si="19"/>
        <v>0</v>
      </c>
    </row>
    <row r="32" ht="15" customHeight="1" spans="1:40">
      <c r="A32" s="24">
        <v>25</v>
      </c>
      <c r="B32" s="329" t="s">
        <v>279</v>
      </c>
      <c r="C32" s="95" t="s">
        <v>255</v>
      </c>
      <c r="D32" s="29">
        <v>57</v>
      </c>
      <c r="E32" s="29" t="str">
        <f t="shared" si="1"/>
        <v>C</v>
      </c>
      <c r="F32" s="29">
        <v>23</v>
      </c>
      <c r="G32" s="49" t="str">
        <f t="shared" si="2"/>
        <v>W</v>
      </c>
      <c r="H32" s="29">
        <v>65</v>
      </c>
      <c r="I32" s="29" t="str">
        <f t="shared" si="3"/>
        <v>B</v>
      </c>
      <c r="J32" s="50">
        <v>24</v>
      </c>
      <c r="K32" s="41" t="str">
        <f t="shared" si="4"/>
        <v>W</v>
      </c>
      <c r="L32" s="41">
        <v>32</v>
      </c>
      <c r="M32" s="41" t="str">
        <f t="shared" si="5"/>
        <v>W</v>
      </c>
      <c r="N32" s="335">
        <v>40</v>
      </c>
      <c r="O32" s="41" t="str">
        <f t="shared" si="6"/>
        <v>S</v>
      </c>
      <c r="P32" s="51">
        <v>84</v>
      </c>
      <c r="Q32" s="309" t="str">
        <f t="shared" si="7"/>
        <v>A</v>
      </c>
      <c r="R32" s="51">
        <v>56</v>
      </c>
      <c r="S32" s="43" t="str">
        <f t="shared" si="8"/>
        <v>C</v>
      </c>
      <c r="T32" s="43">
        <v>30</v>
      </c>
      <c r="U32" s="43" t="str">
        <f t="shared" si="9"/>
        <v>W</v>
      </c>
      <c r="V32" s="42" t="s">
        <v>29</v>
      </c>
      <c r="W32" s="42" t="s">
        <v>29</v>
      </c>
      <c r="X32" s="52"/>
      <c r="Y32" s="44"/>
      <c r="Z32" s="52"/>
      <c r="AA32" s="44"/>
      <c r="AB32" s="106">
        <v>55</v>
      </c>
      <c r="AC32" s="99" t="str">
        <f t="shared" si="10"/>
        <v>C</v>
      </c>
      <c r="AD32" s="334">
        <v>45</v>
      </c>
      <c r="AE32" s="99" t="str">
        <f t="shared" si="11"/>
        <v>S</v>
      </c>
      <c r="AF32" s="100">
        <f t="shared" si="12"/>
        <v>511</v>
      </c>
      <c r="AG32" s="101">
        <f t="shared" si="13"/>
        <v>46.4545454545455</v>
      </c>
      <c r="AH32" s="100">
        <f t="shared" si="14"/>
        <v>18</v>
      </c>
      <c r="AI32" s="36">
        <f t="shared" si="15"/>
        <v>1</v>
      </c>
      <c r="AJ32" s="36">
        <f t="shared" si="16"/>
        <v>1</v>
      </c>
      <c r="AK32" s="36">
        <f t="shared" si="17"/>
        <v>3</v>
      </c>
      <c r="AL32" s="36">
        <f t="shared" si="18"/>
        <v>2</v>
      </c>
      <c r="AM32" s="36">
        <f t="shared" si="23"/>
        <v>4</v>
      </c>
      <c r="AN32" s="37">
        <f t="shared" si="19"/>
        <v>1</v>
      </c>
    </row>
    <row r="33" ht="15" customHeight="1" spans="1:40">
      <c r="A33" s="39">
        <v>26</v>
      </c>
      <c r="B33" s="329" t="s">
        <v>280</v>
      </c>
      <c r="C33" s="95" t="s">
        <v>255</v>
      </c>
      <c r="D33" s="29">
        <v>60</v>
      </c>
      <c r="E33" s="29" t="str">
        <f t="shared" si="1"/>
        <v>C</v>
      </c>
      <c r="F33" s="29">
        <v>55</v>
      </c>
      <c r="G33" s="49" t="str">
        <f t="shared" si="2"/>
        <v>C</v>
      </c>
      <c r="H33" s="29">
        <v>86</v>
      </c>
      <c r="I33" s="29" t="str">
        <f t="shared" si="3"/>
        <v>A</v>
      </c>
      <c r="J33" s="50">
        <v>74</v>
      </c>
      <c r="K33" s="41" t="str">
        <f t="shared" si="4"/>
        <v>B</v>
      </c>
      <c r="L33" s="41">
        <v>79</v>
      </c>
      <c r="M33" s="41" t="str">
        <f t="shared" si="5"/>
        <v>A</v>
      </c>
      <c r="N33" s="29">
        <v>41</v>
      </c>
      <c r="O33" s="41" t="str">
        <f t="shared" si="6"/>
        <v>S</v>
      </c>
      <c r="P33" s="51">
        <v>95</v>
      </c>
      <c r="Q33" s="309" t="str">
        <f t="shared" si="7"/>
        <v>A</v>
      </c>
      <c r="R33" s="51">
        <v>72</v>
      </c>
      <c r="S33" s="43" t="str">
        <f t="shared" si="8"/>
        <v>B</v>
      </c>
      <c r="T33" s="43">
        <v>80</v>
      </c>
      <c r="U33" s="43" t="str">
        <f t="shared" si="9"/>
        <v>A</v>
      </c>
      <c r="V33" s="52"/>
      <c r="W33" s="44"/>
      <c r="X33" s="52"/>
      <c r="Y33" s="44"/>
      <c r="Z33" s="52">
        <v>85</v>
      </c>
      <c r="AA33" s="44" t="str">
        <f t="shared" si="21"/>
        <v>A</v>
      </c>
      <c r="AB33" s="106">
        <v>65</v>
      </c>
      <c r="AC33" s="99" t="str">
        <f t="shared" si="10"/>
        <v>B</v>
      </c>
      <c r="AD33" s="334">
        <v>98</v>
      </c>
      <c r="AE33" s="99" t="str">
        <f t="shared" si="11"/>
        <v>A</v>
      </c>
      <c r="AF33" s="100">
        <f t="shared" si="12"/>
        <v>890</v>
      </c>
      <c r="AG33" s="101">
        <f t="shared" si="13"/>
        <v>74.1666666666667</v>
      </c>
      <c r="AH33" s="100">
        <f t="shared" si="14"/>
        <v>2</v>
      </c>
      <c r="AI33" s="36">
        <f t="shared" si="15"/>
        <v>6</v>
      </c>
      <c r="AJ33" s="36">
        <f t="shared" si="16"/>
        <v>3</v>
      </c>
      <c r="AK33" s="36">
        <f t="shared" si="17"/>
        <v>2</v>
      </c>
      <c r="AL33" s="36">
        <f t="shared" si="18"/>
        <v>1</v>
      </c>
      <c r="AM33" s="36">
        <f t="shared" si="23"/>
        <v>0</v>
      </c>
      <c r="AN33" s="37">
        <f t="shared" si="19"/>
        <v>0</v>
      </c>
    </row>
    <row r="34" ht="15" customHeight="1" spans="1:40">
      <c r="A34" s="24">
        <v>27</v>
      </c>
      <c r="B34" s="329" t="s">
        <v>281</v>
      </c>
      <c r="C34" s="95" t="s">
        <v>255</v>
      </c>
      <c r="D34" s="29">
        <v>42</v>
      </c>
      <c r="E34" s="29" t="str">
        <f t="shared" si="1"/>
        <v>S</v>
      </c>
      <c r="F34" s="29">
        <v>26</v>
      </c>
      <c r="G34" s="49" t="str">
        <f t="shared" si="2"/>
        <v>W</v>
      </c>
      <c r="H34" s="29">
        <v>73</v>
      </c>
      <c r="I34" s="29" t="str">
        <f t="shared" si="3"/>
        <v>B</v>
      </c>
      <c r="J34" s="50">
        <v>26</v>
      </c>
      <c r="K34" s="41" t="str">
        <f t="shared" si="4"/>
        <v>W</v>
      </c>
      <c r="L34" s="41">
        <v>38</v>
      </c>
      <c r="M34" s="41" t="str">
        <f t="shared" si="5"/>
        <v>W</v>
      </c>
      <c r="N34" s="29">
        <v>36</v>
      </c>
      <c r="O34" s="41" t="str">
        <f t="shared" si="6"/>
        <v>W</v>
      </c>
      <c r="P34" s="51">
        <v>81</v>
      </c>
      <c r="Q34" s="309" t="str">
        <f t="shared" si="7"/>
        <v>A</v>
      </c>
      <c r="R34" s="51">
        <v>57</v>
      </c>
      <c r="S34" s="43" t="str">
        <f t="shared" si="8"/>
        <v>C</v>
      </c>
      <c r="T34" s="43">
        <v>52</v>
      </c>
      <c r="U34" s="43" t="str">
        <f t="shared" si="9"/>
        <v>C</v>
      </c>
      <c r="V34" s="52">
        <v>41</v>
      </c>
      <c r="W34" s="44" t="str">
        <f t="shared" si="20"/>
        <v>S</v>
      </c>
      <c r="X34" s="52"/>
      <c r="Y34" s="44"/>
      <c r="Z34" s="52"/>
      <c r="AA34" s="44"/>
      <c r="AB34" s="106">
        <v>42</v>
      </c>
      <c r="AC34" s="99" t="str">
        <f t="shared" si="10"/>
        <v>S</v>
      </c>
      <c r="AD34" s="334">
        <v>98</v>
      </c>
      <c r="AE34" s="99" t="str">
        <f t="shared" si="11"/>
        <v>A</v>
      </c>
      <c r="AF34" s="100">
        <f t="shared" si="12"/>
        <v>612</v>
      </c>
      <c r="AG34" s="101">
        <f t="shared" si="13"/>
        <v>51</v>
      </c>
      <c r="AH34" s="100">
        <f t="shared" si="14"/>
        <v>12</v>
      </c>
      <c r="AI34" s="36">
        <f t="shared" si="15"/>
        <v>2</v>
      </c>
      <c r="AJ34" s="36">
        <f t="shared" si="16"/>
        <v>1</v>
      </c>
      <c r="AK34" s="36">
        <f t="shared" si="17"/>
        <v>2</v>
      </c>
      <c r="AL34" s="36">
        <f t="shared" si="18"/>
        <v>3</v>
      </c>
      <c r="AM34" s="36">
        <f t="shared" si="23"/>
        <v>4</v>
      </c>
      <c r="AN34" s="37">
        <f t="shared" si="19"/>
        <v>0</v>
      </c>
    </row>
    <row r="35" ht="15" customHeight="1" spans="1:40">
      <c r="A35" s="24">
        <v>28</v>
      </c>
      <c r="B35" s="329" t="s">
        <v>282</v>
      </c>
      <c r="C35" s="95" t="s">
        <v>255</v>
      </c>
      <c r="D35" s="29">
        <v>47</v>
      </c>
      <c r="E35" s="29" t="str">
        <f t="shared" si="1"/>
        <v>S</v>
      </c>
      <c r="F35" s="29">
        <v>29</v>
      </c>
      <c r="G35" s="49" t="str">
        <f t="shared" si="2"/>
        <v>W</v>
      </c>
      <c r="H35" s="29">
        <v>41</v>
      </c>
      <c r="I35" s="29" t="str">
        <f t="shared" si="3"/>
        <v>S</v>
      </c>
      <c r="J35" s="50">
        <v>30</v>
      </c>
      <c r="K35" s="41" t="str">
        <f t="shared" si="4"/>
        <v>W</v>
      </c>
      <c r="L35" s="41">
        <v>56</v>
      </c>
      <c r="M35" s="41" t="str">
        <f t="shared" si="5"/>
        <v>C</v>
      </c>
      <c r="N35" s="29">
        <v>22</v>
      </c>
      <c r="O35" s="41" t="str">
        <f t="shared" si="6"/>
        <v>W</v>
      </c>
      <c r="P35" s="51">
        <v>78</v>
      </c>
      <c r="Q35" s="309" t="str">
        <f t="shared" si="7"/>
        <v>A</v>
      </c>
      <c r="R35" s="51">
        <v>50</v>
      </c>
      <c r="S35" s="43" t="str">
        <f t="shared" si="8"/>
        <v>C</v>
      </c>
      <c r="T35" s="43">
        <v>41</v>
      </c>
      <c r="U35" s="43" t="str">
        <f t="shared" si="9"/>
        <v>S</v>
      </c>
      <c r="V35" s="52"/>
      <c r="W35" s="44"/>
      <c r="X35" s="52">
        <v>70</v>
      </c>
      <c r="Y35" s="44" t="str">
        <f t="shared" si="22"/>
        <v>B</v>
      </c>
      <c r="Z35" s="52"/>
      <c r="AA35" s="44"/>
      <c r="AB35" s="106">
        <v>56</v>
      </c>
      <c r="AC35" s="99" t="str">
        <f t="shared" si="10"/>
        <v>C</v>
      </c>
      <c r="AD35" s="334">
        <v>95</v>
      </c>
      <c r="AE35" s="99" t="str">
        <f t="shared" si="11"/>
        <v>A</v>
      </c>
      <c r="AF35" s="100">
        <f t="shared" si="12"/>
        <v>615</v>
      </c>
      <c r="AG35" s="101">
        <f t="shared" si="13"/>
        <v>51.25</v>
      </c>
      <c r="AH35" s="100">
        <f t="shared" si="14"/>
        <v>11</v>
      </c>
      <c r="AI35" s="36">
        <f t="shared" si="15"/>
        <v>2</v>
      </c>
      <c r="AJ35" s="36">
        <f t="shared" si="16"/>
        <v>1</v>
      </c>
      <c r="AK35" s="36">
        <f t="shared" si="17"/>
        <v>3</v>
      </c>
      <c r="AL35" s="36">
        <f t="shared" si="18"/>
        <v>3</v>
      </c>
      <c r="AM35" s="36">
        <f t="shared" si="23"/>
        <v>3</v>
      </c>
      <c r="AN35" s="37">
        <f t="shared" si="19"/>
        <v>0</v>
      </c>
    </row>
    <row r="36" ht="15" customHeight="1" spans="1:40">
      <c r="A36" s="39">
        <v>29</v>
      </c>
      <c r="B36" s="329" t="s">
        <v>283</v>
      </c>
      <c r="C36" s="95" t="s">
        <v>255</v>
      </c>
      <c r="D36" s="29">
        <v>56</v>
      </c>
      <c r="E36" s="29" t="str">
        <f t="shared" si="1"/>
        <v>C</v>
      </c>
      <c r="F36" s="29">
        <v>34</v>
      </c>
      <c r="G36" s="49" t="str">
        <f t="shared" si="2"/>
        <v>W</v>
      </c>
      <c r="H36" s="29">
        <v>77</v>
      </c>
      <c r="I36" s="29" t="str">
        <f t="shared" si="3"/>
        <v>A</v>
      </c>
      <c r="J36" s="50">
        <v>50</v>
      </c>
      <c r="K36" s="41" t="str">
        <f t="shared" si="4"/>
        <v>C</v>
      </c>
      <c r="L36" s="41">
        <v>42</v>
      </c>
      <c r="M36" s="41" t="str">
        <f t="shared" si="5"/>
        <v>S</v>
      </c>
      <c r="N36" s="29">
        <v>33</v>
      </c>
      <c r="O36" s="41" t="str">
        <f t="shared" si="6"/>
        <v>W</v>
      </c>
      <c r="P36" s="51">
        <v>89</v>
      </c>
      <c r="Q36" s="309" t="str">
        <f t="shared" si="7"/>
        <v>A</v>
      </c>
      <c r="R36" s="51">
        <v>70</v>
      </c>
      <c r="S36" s="43" t="str">
        <f t="shared" si="8"/>
        <v>B</v>
      </c>
      <c r="T36" s="43">
        <v>75</v>
      </c>
      <c r="U36" s="43" t="str">
        <f t="shared" si="9"/>
        <v>A</v>
      </c>
      <c r="V36" s="52"/>
      <c r="W36" s="44"/>
      <c r="X36" s="52">
        <v>71</v>
      </c>
      <c r="Y36" s="44" t="str">
        <f t="shared" si="22"/>
        <v>B</v>
      </c>
      <c r="Z36" s="52"/>
      <c r="AA36" s="44"/>
      <c r="AB36" s="106">
        <v>50</v>
      </c>
      <c r="AC36" s="99" t="str">
        <f t="shared" si="10"/>
        <v>C</v>
      </c>
      <c r="AD36" s="334">
        <v>95</v>
      </c>
      <c r="AE36" s="99" t="str">
        <f t="shared" si="11"/>
        <v>A</v>
      </c>
      <c r="AF36" s="100">
        <f t="shared" si="12"/>
        <v>742</v>
      </c>
      <c r="AG36" s="101">
        <f t="shared" si="13"/>
        <v>61.8333333333333</v>
      </c>
      <c r="AH36" s="100">
        <f t="shared" si="14"/>
        <v>7</v>
      </c>
      <c r="AI36" s="36">
        <f t="shared" si="15"/>
        <v>4</v>
      </c>
      <c r="AJ36" s="36">
        <f t="shared" si="16"/>
        <v>2</v>
      </c>
      <c r="AK36" s="36">
        <f t="shared" si="17"/>
        <v>3</v>
      </c>
      <c r="AL36" s="36">
        <f t="shared" si="18"/>
        <v>1</v>
      </c>
      <c r="AM36" s="36">
        <f t="shared" si="23"/>
        <v>2</v>
      </c>
      <c r="AN36" s="37">
        <f t="shared" si="19"/>
        <v>0</v>
      </c>
    </row>
    <row r="37" ht="15" customHeight="1" spans="1:40">
      <c r="A37" s="24">
        <v>30</v>
      </c>
      <c r="B37" s="329" t="s">
        <v>284</v>
      </c>
      <c r="C37" s="95" t="s">
        <v>255</v>
      </c>
      <c r="D37" s="29">
        <v>25</v>
      </c>
      <c r="E37" s="29" t="str">
        <f t="shared" si="1"/>
        <v>W</v>
      </c>
      <c r="F37" s="29">
        <v>8</v>
      </c>
      <c r="G37" s="49" t="str">
        <f t="shared" si="2"/>
        <v>W</v>
      </c>
      <c r="H37" s="29">
        <v>46</v>
      </c>
      <c r="I37" s="29" t="str">
        <f t="shared" si="3"/>
        <v>S</v>
      </c>
      <c r="J37" s="50">
        <v>14</v>
      </c>
      <c r="K37" s="41" t="str">
        <f t="shared" si="4"/>
        <v>W</v>
      </c>
      <c r="L37" s="41">
        <v>26</v>
      </c>
      <c r="M37" s="41" t="str">
        <f t="shared" si="5"/>
        <v>W</v>
      </c>
      <c r="N37" s="29">
        <v>31</v>
      </c>
      <c r="O37" s="41" t="str">
        <f t="shared" si="6"/>
        <v>W</v>
      </c>
      <c r="P37" s="51">
        <v>68</v>
      </c>
      <c r="Q37" s="309" t="str">
        <f t="shared" si="7"/>
        <v>B</v>
      </c>
      <c r="R37" s="51">
        <v>25</v>
      </c>
      <c r="S37" s="43" t="str">
        <f t="shared" si="8"/>
        <v>W</v>
      </c>
      <c r="T37" s="43">
        <v>20</v>
      </c>
      <c r="U37" s="43" t="str">
        <f t="shared" si="9"/>
        <v>W</v>
      </c>
      <c r="V37" s="52"/>
      <c r="W37" s="44"/>
      <c r="X37" s="52"/>
      <c r="Y37" s="44"/>
      <c r="Z37" s="52">
        <v>47</v>
      </c>
      <c r="AA37" s="44" t="str">
        <f t="shared" si="21"/>
        <v>S</v>
      </c>
      <c r="AB37" s="106">
        <v>45</v>
      </c>
      <c r="AC37" s="99" t="str">
        <f t="shared" si="10"/>
        <v>S</v>
      </c>
      <c r="AD37" s="334">
        <v>40</v>
      </c>
      <c r="AE37" s="99" t="str">
        <f t="shared" si="11"/>
        <v>S</v>
      </c>
      <c r="AF37" s="100">
        <f t="shared" si="12"/>
        <v>395</v>
      </c>
      <c r="AG37" s="101">
        <f t="shared" si="13"/>
        <v>32.9166666666667</v>
      </c>
      <c r="AH37" s="100">
        <f t="shared" si="14"/>
        <v>24</v>
      </c>
      <c r="AI37" s="36">
        <f t="shared" si="15"/>
        <v>0</v>
      </c>
      <c r="AJ37" s="36">
        <f t="shared" si="16"/>
        <v>1</v>
      </c>
      <c r="AK37" s="36">
        <f t="shared" si="17"/>
        <v>0</v>
      </c>
      <c r="AL37" s="36">
        <f t="shared" si="18"/>
        <v>4</v>
      </c>
      <c r="AM37" s="36">
        <f t="shared" si="23"/>
        <v>7</v>
      </c>
      <c r="AN37" s="37">
        <f t="shared" si="19"/>
        <v>0</v>
      </c>
    </row>
    <row r="38" ht="15" customHeight="1" spans="1:40">
      <c r="A38" s="39">
        <v>31</v>
      </c>
      <c r="B38" s="329" t="s">
        <v>285</v>
      </c>
      <c r="C38" s="95" t="s">
        <v>255</v>
      </c>
      <c r="D38" s="29">
        <v>53</v>
      </c>
      <c r="E38" s="29" t="str">
        <f t="shared" si="1"/>
        <v>C</v>
      </c>
      <c r="F38" s="29">
        <v>43</v>
      </c>
      <c r="G38" s="49" t="str">
        <f t="shared" si="2"/>
        <v>S</v>
      </c>
      <c r="H38" s="29">
        <v>57</v>
      </c>
      <c r="I38" s="29" t="str">
        <f t="shared" si="3"/>
        <v>C</v>
      </c>
      <c r="J38" s="50">
        <v>60</v>
      </c>
      <c r="K38" s="41" t="str">
        <f t="shared" si="4"/>
        <v>C</v>
      </c>
      <c r="L38" s="41">
        <v>53</v>
      </c>
      <c r="M38" s="41" t="str">
        <f t="shared" si="5"/>
        <v>C</v>
      </c>
      <c r="N38" s="29">
        <v>40</v>
      </c>
      <c r="O38" s="41" t="str">
        <f t="shared" si="6"/>
        <v>S</v>
      </c>
      <c r="P38" s="51">
        <v>75</v>
      </c>
      <c r="Q38" s="309" t="str">
        <f t="shared" si="7"/>
        <v>A</v>
      </c>
      <c r="R38" s="51">
        <v>62</v>
      </c>
      <c r="S38" s="43" t="str">
        <f t="shared" si="8"/>
        <v>C</v>
      </c>
      <c r="T38" s="43">
        <v>55</v>
      </c>
      <c r="U38" s="43" t="str">
        <f t="shared" si="9"/>
        <v>C</v>
      </c>
      <c r="V38" s="52"/>
      <c r="W38" s="44"/>
      <c r="X38" s="52"/>
      <c r="Y38" s="44"/>
      <c r="Z38" s="52">
        <v>80</v>
      </c>
      <c r="AA38" s="44" t="str">
        <f t="shared" si="21"/>
        <v>A</v>
      </c>
      <c r="AB38" s="106">
        <v>65</v>
      </c>
      <c r="AC38" s="99" t="str">
        <f t="shared" si="10"/>
        <v>B</v>
      </c>
      <c r="AD38" s="334">
        <v>95</v>
      </c>
      <c r="AE38" s="99" t="str">
        <f t="shared" si="11"/>
        <v>A</v>
      </c>
      <c r="AF38" s="100">
        <f t="shared" si="12"/>
        <v>738</v>
      </c>
      <c r="AG38" s="101">
        <f t="shared" si="13"/>
        <v>61.5</v>
      </c>
      <c r="AH38" s="100">
        <f t="shared" si="14"/>
        <v>8</v>
      </c>
      <c r="AI38" s="36">
        <f t="shared" si="15"/>
        <v>3</v>
      </c>
      <c r="AJ38" s="36">
        <f t="shared" si="16"/>
        <v>1</v>
      </c>
      <c r="AK38" s="36">
        <f t="shared" si="17"/>
        <v>6</v>
      </c>
      <c r="AL38" s="36">
        <f t="shared" si="18"/>
        <v>2</v>
      </c>
      <c r="AM38" s="36">
        <f t="shared" si="23"/>
        <v>0</v>
      </c>
      <c r="AN38" s="37">
        <f t="shared" si="19"/>
        <v>0</v>
      </c>
    </row>
    <row r="39" ht="12" customHeight="1" spans="1:40">
      <c r="A39" s="215" t="s">
        <v>62</v>
      </c>
      <c r="B39" s="216"/>
      <c r="C39" s="221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  <c r="AF39" s="58"/>
      <c r="AG39" s="58"/>
      <c r="AH39" s="58"/>
      <c r="AM39" s="59"/>
      <c r="AN39" s="60"/>
    </row>
    <row r="40" ht="12" customHeight="1" spans="1:40">
      <c r="A40" s="141" t="s">
        <v>63</v>
      </c>
      <c r="B40" s="142"/>
      <c r="C40" s="146" t="s">
        <v>24</v>
      </c>
      <c r="D40" s="144"/>
      <c r="E40" s="148">
        <f>COUNTIF(E8:E38,"A")</f>
        <v>1</v>
      </c>
      <c r="F40" s="144"/>
      <c r="G40" s="148">
        <f>COUNTIF(G8:G38,"A")</f>
        <v>0</v>
      </c>
      <c r="H40" s="144"/>
      <c r="I40" s="148">
        <f>COUNTIF(I8:I38,"A")</f>
        <v>7</v>
      </c>
      <c r="J40" s="144"/>
      <c r="K40" s="148">
        <f>COUNTIF(K8:K38,"A")</f>
        <v>1</v>
      </c>
      <c r="L40" s="148"/>
      <c r="M40" s="148">
        <f>COUNTIF(M8:M38,"A")</f>
        <v>4</v>
      </c>
      <c r="N40" s="148"/>
      <c r="O40" s="148">
        <f>COUNTIF(O8:O38,"A")</f>
        <v>3</v>
      </c>
      <c r="P40" s="148"/>
      <c r="Q40" s="148">
        <f>COUNTIF(Q8:Q38,"A")</f>
        <v>12</v>
      </c>
      <c r="R40" s="144"/>
      <c r="S40" s="148">
        <f>COUNTIF(S8:S38,"A")</f>
        <v>4</v>
      </c>
      <c r="T40" s="144"/>
      <c r="U40" s="148">
        <f>COUNTIF(U8:U38,"A")</f>
        <v>3</v>
      </c>
      <c r="V40" s="144"/>
      <c r="W40" s="148">
        <f>COUNTIF(W8:W38,"A")</f>
        <v>2</v>
      </c>
      <c r="X40" s="144"/>
      <c r="Y40" s="148">
        <f>COUNTIF(Y8:Y38,"A")</f>
        <v>2</v>
      </c>
      <c r="Z40" s="144"/>
      <c r="AA40" s="148">
        <f>COUNTIF(AA8:AA38,"A")</f>
        <v>2</v>
      </c>
      <c r="AB40" s="144"/>
      <c r="AC40" s="148">
        <f>COUNTIF(AC8:AC38,"A")</f>
        <v>2</v>
      </c>
      <c r="AD40" s="144"/>
      <c r="AE40" s="148">
        <f>COUNTIF(AE8:AE38,"A")</f>
        <v>15</v>
      </c>
      <c r="AF40" s="64"/>
      <c r="AH40" s="64"/>
      <c r="AM40" s="59"/>
      <c r="AN40" s="60"/>
    </row>
    <row r="41" ht="12" customHeight="1" spans="1:40">
      <c r="A41" s="141" t="s">
        <v>64</v>
      </c>
      <c r="B41" s="142"/>
      <c r="C41" s="143" t="s">
        <v>25</v>
      </c>
      <c r="D41" s="144"/>
      <c r="E41" s="148">
        <f>COUNTIF(E8:E38,"B")</f>
        <v>2</v>
      </c>
      <c r="F41" s="144"/>
      <c r="G41" s="148">
        <f>COUNTIF(G8:G38,"B")</f>
        <v>0</v>
      </c>
      <c r="H41" s="144"/>
      <c r="I41" s="148">
        <f>COUNTIF(I8:I38,"B")</f>
        <v>3</v>
      </c>
      <c r="J41" s="144"/>
      <c r="K41" s="148">
        <f>COUNTIF(K8:K38,"B")</f>
        <v>1</v>
      </c>
      <c r="L41" s="144"/>
      <c r="M41" s="148">
        <f>COUNTIF(M8:M38,"B")</f>
        <v>2</v>
      </c>
      <c r="N41" s="144"/>
      <c r="O41" s="148">
        <f>COUNTIF(O8:O38,"B")</f>
        <v>1</v>
      </c>
      <c r="P41" s="144"/>
      <c r="Q41" s="148">
        <f>COUNTIF(Q8:Q38,"B")</f>
        <v>8</v>
      </c>
      <c r="R41" s="144"/>
      <c r="S41" s="148">
        <f>COUNTIF(S8:S38,"B")</f>
        <v>4</v>
      </c>
      <c r="T41" s="144"/>
      <c r="U41" s="148">
        <f>COUNTIF(U8:U38,"B")</f>
        <v>1</v>
      </c>
      <c r="V41" s="144"/>
      <c r="W41" s="148">
        <f>COUNTIF(W8:W38,"B")</f>
        <v>0</v>
      </c>
      <c r="X41" s="144"/>
      <c r="Y41" s="148">
        <f>COUNTIF(Y8:Y38,"B")</f>
        <v>3</v>
      </c>
      <c r="Z41" s="144"/>
      <c r="AA41" s="148">
        <f>COUNTIF(AA8:AA38,"B")</f>
        <v>0</v>
      </c>
      <c r="AB41" s="144"/>
      <c r="AC41" s="148">
        <f>COUNTIF(AC8:AC38,"B")</f>
        <v>8</v>
      </c>
      <c r="AD41" s="144"/>
      <c r="AE41" s="148">
        <f>COUNTIF(AE8:AE38,"B")</f>
        <v>0</v>
      </c>
      <c r="AF41" s="64"/>
      <c r="AG41" s="64"/>
      <c r="AH41" s="64"/>
      <c r="AN41" s="2"/>
    </row>
    <row r="42" ht="12" customHeight="1" spans="1:40">
      <c r="A42" s="141" t="s">
        <v>65</v>
      </c>
      <c r="B42" s="142"/>
      <c r="C42" s="143" t="s">
        <v>26</v>
      </c>
      <c r="D42" s="144"/>
      <c r="E42" s="148">
        <f>COUNTIF(E8:E38,"C")</f>
        <v>6</v>
      </c>
      <c r="F42" s="144"/>
      <c r="G42" s="148">
        <f>COUNTIF(G8:G38,"C")</f>
        <v>3</v>
      </c>
      <c r="H42" s="144"/>
      <c r="I42" s="148">
        <f>COUNTIF(I8:I38,"C")</f>
        <v>5</v>
      </c>
      <c r="J42" s="144"/>
      <c r="K42" s="148">
        <f>COUNTIF(K8:K38,"C")</f>
        <v>10</v>
      </c>
      <c r="L42" s="144"/>
      <c r="M42" s="148">
        <f>COUNTIF(M8:M38,"C")</f>
        <v>7</v>
      </c>
      <c r="N42" s="144"/>
      <c r="O42" s="148">
        <f>COUNTIF(O8:O38,"C")</f>
        <v>3</v>
      </c>
      <c r="P42" s="144"/>
      <c r="Q42" s="148">
        <f>COUNTIF(Q8:Q38,"C")</f>
        <v>5</v>
      </c>
      <c r="R42" s="144"/>
      <c r="S42" s="148">
        <f>COUNTIF(S8:S38,"C")</f>
        <v>10</v>
      </c>
      <c r="T42" s="144"/>
      <c r="U42" s="148">
        <f>COUNTIF(U8:U38,"C")</f>
        <v>6</v>
      </c>
      <c r="V42" s="144"/>
      <c r="W42" s="148">
        <f>COUNTIF(W8:W38,"C")</f>
        <v>3</v>
      </c>
      <c r="X42" s="144"/>
      <c r="Y42" s="148">
        <f>COUNTIF(Y8:Y38,"C")</f>
        <v>2</v>
      </c>
      <c r="Z42" s="144"/>
      <c r="AA42" s="148">
        <f>COUNTIF(AA8:AA38,"C")</f>
        <v>1</v>
      </c>
      <c r="AB42" s="144"/>
      <c r="AC42" s="148">
        <f>COUNTIF(AC8:AC38,"C")</f>
        <v>10</v>
      </c>
      <c r="AD42" s="144"/>
      <c r="AE42" s="148">
        <f>COUNTIF(AE8:AE38,"C")</f>
        <v>1</v>
      </c>
      <c r="AF42" s="64"/>
      <c r="AG42" s="64"/>
      <c r="AH42" s="64"/>
      <c r="AN42" s="2"/>
    </row>
    <row r="43" ht="12" customHeight="1" spans="1:40">
      <c r="A43" s="141" t="s">
        <v>66</v>
      </c>
      <c r="B43" s="142"/>
      <c r="C43" s="143" t="s">
        <v>27</v>
      </c>
      <c r="D43" s="144"/>
      <c r="E43" s="148">
        <f>COUNTIF(E8:E38,"S")</f>
        <v>5</v>
      </c>
      <c r="F43" s="144"/>
      <c r="G43" s="148">
        <f>COUNTIF(G8:G38,"S")</f>
        <v>2</v>
      </c>
      <c r="H43" s="144"/>
      <c r="I43" s="148">
        <f>COUNTIF(I8:I38,"S")</f>
        <v>8</v>
      </c>
      <c r="J43" s="144"/>
      <c r="K43" s="148">
        <f>COUNTIF(K8:K38,"S")</f>
        <v>1</v>
      </c>
      <c r="L43" s="144"/>
      <c r="M43" s="148">
        <f>COUNTIF(M8:M38,"S")</f>
        <v>3</v>
      </c>
      <c r="N43" s="144"/>
      <c r="O43" s="148">
        <f>COUNTIF(O8:O38,"S")</f>
        <v>7</v>
      </c>
      <c r="P43" s="144"/>
      <c r="Q43" s="148">
        <f>COUNTIF(Q8:Q38,"S")</f>
        <v>3</v>
      </c>
      <c r="R43" s="144"/>
      <c r="S43" s="148">
        <f>COUNTIF(S8:S38,"S")</f>
        <v>5</v>
      </c>
      <c r="T43" s="144"/>
      <c r="U43" s="148">
        <f>COUNTIF(U8:U38,"S")</f>
        <v>2</v>
      </c>
      <c r="V43" s="144"/>
      <c r="W43" s="148">
        <f>COUNTIF(W8:W38,"S")</f>
        <v>1</v>
      </c>
      <c r="X43" s="144"/>
      <c r="Y43" s="148">
        <f>COUNTIF(Y8:Y38,"S")</f>
        <v>2</v>
      </c>
      <c r="Z43" s="144"/>
      <c r="AA43" s="148">
        <f>COUNTIF(AA8:AA38,"S")</f>
        <v>2</v>
      </c>
      <c r="AB43" s="144"/>
      <c r="AC43" s="148">
        <f>COUNTIF(AC8:AC38,"S")</f>
        <v>6</v>
      </c>
      <c r="AD43" s="144"/>
      <c r="AE43" s="148">
        <f>COUNTIF(AE8:AE38,"S")</f>
        <v>12</v>
      </c>
      <c r="AF43" s="64"/>
      <c r="AG43" s="64"/>
      <c r="AH43" s="64"/>
      <c r="AN43" s="2"/>
    </row>
    <row r="44" ht="12" customHeight="1" spans="1:40">
      <c r="A44" s="141" t="s">
        <v>67</v>
      </c>
      <c r="B44" s="142"/>
      <c r="C44" s="143" t="s">
        <v>28</v>
      </c>
      <c r="D44" s="144"/>
      <c r="E44" s="148">
        <f>COUNTIF(E8:E38,"W")</f>
        <v>15</v>
      </c>
      <c r="F44" s="144"/>
      <c r="G44" s="148">
        <f>COUNTIF(G8:G38,"W")</f>
        <v>23</v>
      </c>
      <c r="H44" s="144"/>
      <c r="I44" s="148">
        <f>COUNTIF(I8:I38,"W")</f>
        <v>5</v>
      </c>
      <c r="J44" s="144"/>
      <c r="K44" s="148">
        <f>COUNTIF(K8:K38,"W")</f>
        <v>16</v>
      </c>
      <c r="L44" s="144"/>
      <c r="M44" s="148">
        <f>COUNTIF(M8:M38,"W")</f>
        <v>13</v>
      </c>
      <c r="N44" s="144"/>
      <c r="O44" s="148">
        <f>COUNTIF(O8:O38,"W")</f>
        <v>16</v>
      </c>
      <c r="P44" s="144"/>
      <c r="Q44" s="148">
        <f>COUNTIF(Q8:Q38,"W")</f>
        <v>2</v>
      </c>
      <c r="R44" s="144"/>
      <c r="S44" s="148">
        <f>COUNTIF(S8:S38,"W")</f>
        <v>4</v>
      </c>
      <c r="T44" s="144"/>
      <c r="U44" s="148">
        <f>COUNTIF(U8:U38,"W")</f>
        <v>16</v>
      </c>
      <c r="V44" s="144"/>
      <c r="W44" s="148">
        <f>COUNTIF(W8:W38,"W")</f>
        <v>3</v>
      </c>
      <c r="X44" s="144"/>
      <c r="Y44" s="148">
        <f>COUNTIF(Y8:Y38,"W")</f>
        <v>0</v>
      </c>
      <c r="Z44" s="144"/>
      <c r="AA44" s="148">
        <f>COUNTIF(AA8:AA38,"W")</f>
        <v>3</v>
      </c>
      <c r="AB44" s="144"/>
      <c r="AC44" s="148">
        <f>COUNTIF(AC8:AC38,"W")</f>
        <v>2</v>
      </c>
      <c r="AD44" s="144"/>
      <c r="AE44" s="148">
        <f>COUNTIF(AE8:AE38,"W")</f>
        <v>3</v>
      </c>
      <c r="AF44" s="64"/>
      <c r="AG44" s="64"/>
      <c r="AH44" s="64"/>
      <c r="AN44" s="2"/>
    </row>
    <row r="45" ht="12" customHeight="1" spans="1:40">
      <c r="A45" s="141"/>
      <c r="B45" s="142"/>
      <c r="C45" s="143" t="s">
        <v>29</v>
      </c>
      <c r="D45" s="144"/>
      <c r="E45" s="148">
        <f>COUNTIF(E8:E38,"AB")</f>
        <v>2</v>
      </c>
      <c r="F45" s="144"/>
      <c r="G45" s="148">
        <f>COUNTIF(G8:G38,"AB")</f>
        <v>3</v>
      </c>
      <c r="H45" s="144"/>
      <c r="I45" s="148">
        <f>COUNTIF(I8:I38,"AB")</f>
        <v>3</v>
      </c>
      <c r="J45" s="144"/>
      <c r="K45" s="148">
        <f>COUNTIF(K8:K38,"AB")</f>
        <v>2</v>
      </c>
      <c r="L45" s="144"/>
      <c r="M45" s="148">
        <f>COUNTIF(M8:M38,"AB")</f>
        <v>2</v>
      </c>
      <c r="N45" s="144"/>
      <c r="O45" s="148">
        <f>COUNTIF(O8:O38,"AB")</f>
        <v>1</v>
      </c>
      <c r="P45" s="144"/>
      <c r="Q45" s="148">
        <f>COUNTIF(Q8:Q38,"AB")</f>
        <v>1</v>
      </c>
      <c r="R45" s="144"/>
      <c r="S45" s="148">
        <f>COUNTIF(S8:S38,"AB")</f>
        <v>4</v>
      </c>
      <c r="T45" s="144"/>
      <c r="U45" s="148">
        <f>COUNTIF(U8:U38,"AB")</f>
        <v>3</v>
      </c>
      <c r="V45" s="144"/>
      <c r="W45" s="148">
        <f>COUNTIF(W8:W38,"AB")</f>
        <v>4</v>
      </c>
      <c r="X45" s="144"/>
      <c r="Y45" s="148">
        <f>COUNTIF(Y8:Y38,"AB")</f>
        <v>1</v>
      </c>
      <c r="Z45" s="144"/>
      <c r="AA45" s="148">
        <f>COUNTIF(AA8:AA38,"AB")</f>
        <v>0</v>
      </c>
      <c r="AB45" s="144"/>
      <c r="AC45" s="148">
        <f>COUNTIF(AC8:AC38,"AB")</f>
        <v>3</v>
      </c>
      <c r="AD45" s="144"/>
      <c r="AE45" s="148">
        <f>COUNTIF(AE8:AE38,"AB")</f>
        <v>0</v>
      </c>
      <c r="AF45" s="64"/>
      <c r="AG45" s="64"/>
      <c r="AH45" s="64"/>
      <c r="AN45" s="2"/>
    </row>
    <row r="46" ht="12" customHeight="1" spans="1:40">
      <c r="A46" s="149" t="s">
        <v>7</v>
      </c>
      <c r="B46" s="150"/>
      <c r="C46" s="338"/>
      <c r="D46" s="153"/>
      <c r="E46" s="339">
        <f>SUM(E40:E45)</f>
        <v>31</v>
      </c>
      <c r="F46" s="152"/>
      <c r="G46" s="340">
        <f>SUM(G40:G45)</f>
        <v>31</v>
      </c>
      <c r="H46" s="152"/>
      <c r="I46" s="340">
        <f>SUM(I40:I45)</f>
        <v>31</v>
      </c>
      <c r="J46" s="152"/>
      <c r="K46" s="340">
        <f>SUM(K40:K45)</f>
        <v>31</v>
      </c>
      <c r="L46" s="152"/>
      <c r="M46" s="340">
        <f>SUM(M40:M45)</f>
        <v>31</v>
      </c>
      <c r="N46" s="152"/>
      <c r="O46" s="340">
        <f>SUM(O40:O45)</f>
        <v>31</v>
      </c>
      <c r="P46" s="152"/>
      <c r="Q46" s="340">
        <f>SUM(Q40:Q45)</f>
        <v>31</v>
      </c>
      <c r="R46" s="152"/>
      <c r="S46" s="340">
        <f>SUM(S40:S45)</f>
        <v>31</v>
      </c>
      <c r="T46" s="152"/>
      <c r="U46" s="340">
        <f>SUM(U40:U45)</f>
        <v>31</v>
      </c>
      <c r="V46" s="152"/>
      <c r="W46" s="340">
        <f>SUM(W40:W45)</f>
        <v>13</v>
      </c>
      <c r="X46" s="152"/>
      <c r="Y46" s="340">
        <f>SUM(Y40:Y45)</f>
        <v>10</v>
      </c>
      <c r="Z46" s="152"/>
      <c r="AA46" s="340">
        <f>SUM(AA40:AA45)</f>
        <v>8</v>
      </c>
      <c r="AB46" s="152"/>
      <c r="AC46" s="340">
        <f>SUM(AC40:AC45)</f>
        <v>31</v>
      </c>
      <c r="AD46" s="152"/>
      <c r="AE46" s="340">
        <f>SUM(AE40:AE45)</f>
        <v>31</v>
      </c>
      <c r="AF46" s="70"/>
      <c r="AG46" s="70"/>
      <c r="AH46" s="70"/>
      <c r="AN46" s="2"/>
    </row>
    <row r="47" ht="18.75" spans="1:40">
      <c r="A47" s="71"/>
      <c r="B47" s="72"/>
      <c r="C47" s="73"/>
      <c r="D47" s="74"/>
      <c r="E47" s="75"/>
      <c r="F47" s="74"/>
      <c r="G47" s="74"/>
      <c r="H47" s="74"/>
      <c r="I47" s="74"/>
      <c r="J47" s="74"/>
      <c r="K47" s="76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N47" s="2"/>
    </row>
    <row r="48" ht="18" spans="1:40">
      <c r="A48" s="47"/>
      <c r="B48" s="77"/>
      <c r="C48" s="78"/>
      <c r="D48" s="38"/>
      <c r="E48" s="79"/>
      <c r="F48" s="38"/>
      <c r="G48" s="38"/>
      <c r="H48" s="38"/>
      <c r="I48" s="38"/>
      <c r="J48" s="38"/>
      <c r="K48" s="80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N48" s="2"/>
    </row>
    <row r="49" ht="15.6" spans="11:40">
      <c r="K49" s="1"/>
      <c r="AN49" s="2"/>
    </row>
  </sheetData>
  <mergeCells count="17">
    <mergeCell ref="A1:AE1"/>
    <mergeCell ref="A3:AM3"/>
    <mergeCell ref="A4:AM4"/>
    <mergeCell ref="D6:AE6"/>
    <mergeCell ref="AF6:AH6"/>
    <mergeCell ref="AI6:AN6"/>
    <mergeCell ref="A39:B39"/>
    <mergeCell ref="A40:B40"/>
    <mergeCell ref="A41:B41"/>
    <mergeCell ref="A42:B42"/>
    <mergeCell ref="A43:B43"/>
    <mergeCell ref="A44:B44"/>
    <mergeCell ref="A45:B45"/>
    <mergeCell ref="A46:B46"/>
    <mergeCell ref="A6:A7"/>
    <mergeCell ref="B6:B7"/>
    <mergeCell ref="C6:C7"/>
  </mergeCells>
  <pageMargins left="0.25" right="0.25" top="0.75" bottom="0.75" header="0.3" footer="0.3"/>
  <pageSetup paperSize="8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0"/>
  <sheetViews>
    <sheetView zoomScale="69" zoomScaleNormal="69" workbookViewId="0">
      <selection activeCell="A31" sqref="$A31:$XFD31"/>
    </sheetView>
  </sheetViews>
  <sheetFormatPr defaultColWidth="9" defaultRowHeight="15.6"/>
  <cols>
    <col min="1" max="1" width="4.13888888888889" customWidth="1"/>
    <col min="2" max="2" width="36" customWidth="1"/>
    <col min="3" max="10" width="4.28703703703704" customWidth="1"/>
    <col min="11" max="11" width="4.28703703703704" style="1" customWidth="1"/>
    <col min="12" max="31" width="4.28703703703704" customWidth="1"/>
    <col min="32" max="32" width="7" customWidth="1"/>
    <col min="33" max="33" width="7.57407407407407" customWidth="1"/>
    <col min="34" max="34" width="5.13888888888889" customWidth="1"/>
    <col min="35" max="35" width="2.28703703703704" customWidth="1"/>
    <col min="36" max="36" width="2" customWidth="1"/>
    <col min="37" max="38" width="2.57407407407407" customWidth="1"/>
    <col min="39" max="39" width="3.28703703703704" customWidth="1"/>
    <col min="40" max="40" width="4.85185185185185" style="2" customWidth="1"/>
  </cols>
  <sheetData>
    <row r="1" ht="25.9" customHeight="1" spans="1:40">
      <c r="A1" s="3" t="s">
        <v>286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8.6" customHeight="1" spans="1:4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ht="17.45" customHeight="1" spans="1:40">
      <c r="A3" s="5" t="s">
        <v>287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ht="13.15" customHeight="1" spans="1:40">
      <c r="A4" s="311" t="s">
        <v>3</v>
      </c>
      <c r="B4" s="312" t="s">
        <v>4</v>
      </c>
      <c r="C4" s="313" t="s">
        <v>5</v>
      </c>
      <c r="D4" s="272" t="s">
        <v>6</v>
      </c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  <c r="AA4" s="273"/>
      <c r="AB4" s="273"/>
      <c r="AC4" s="273"/>
      <c r="AD4" s="273"/>
      <c r="AE4" s="274"/>
      <c r="AF4" s="314"/>
      <c r="AG4" s="315"/>
      <c r="AH4" s="316"/>
      <c r="AI4" s="11" t="s">
        <v>7</v>
      </c>
      <c r="AJ4" s="12"/>
      <c r="AK4" s="12"/>
      <c r="AL4" s="12"/>
      <c r="AM4" s="12"/>
      <c r="AN4" s="12"/>
    </row>
    <row r="5" ht="73.9" customHeight="1" spans="1:40">
      <c r="A5" s="317"/>
      <c r="B5" s="318"/>
      <c r="C5" s="319"/>
      <c r="D5" s="14" t="s">
        <v>8</v>
      </c>
      <c r="E5" s="15"/>
      <c r="F5" s="14" t="s">
        <v>9</v>
      </c>
      <c r="G5" s="14"/>
      <c r="H5" s="14" t="s">
        <v>10</v>
      </c>
      <c r="I5" s="14"/>
      <c r="J5" s="14" t="s">
        <v>11</v>
      </c>
      <c r="K5" s="14"/>
      <c r="L5" s="14" t="s">
        <v>12</v>
      </c>
      <c r="M5" s="14"/>
      <c r="N5" s="14" t="s">
        <v>13</v>
      </c>
      <c r="O5" s="14"/>
      <c r="P5" s="116" t="s">
        <v>14</v>
      </c>
      <c r="Q5" s="16"/>
      <c r="R5" s="16" t="s">
        <v>15</v>
      </c>
      <c r="S5" s="16"/>
      <c r="T5" s="16" t="s">
        <v>16</v>
      </c>
      <c r="U5" s="16"/>
      <c r="V5" s="17" t="s">
        <v>17</v>
      </c>
      <c r="W5" s="17"/>
      <c r="X5" s="17" t="s">
        <v>18</v>
      </c>
      <c r="Y5" s="17"/>
      <c r="Z5" s="17" t="s">
        <v>19</v>
      </c>
      <c r="AA5" s="92"/>
      <c r="AB5" s="257" t="s">
        <v>20</v>
      </c>
      <c r="AC5" s="93"/>
      <c r="AD5" s="93" t="s">
        <v>21</v>
      </c>
      <c r="AE5" s="93"/>
      <c r="AF5" s="18" t="s">
        <v>7</v>
      </c>
      <c r="AG5" s="18" t="s">
        <v>22</v>
      </c>
      <c r="AH5" s="18" t="s">
        <v>23</v>
      </c>
      <c r="AI5" s="19" t="s">
        <v>24</v>
      </c>
      <c r="AJ5" s="20" t="s">
        <v>25</v>
      </c>
      <c r="AK5" s="21" t="s">
        <v>26</v>
      </c>
      <c r="AL5" s="20" t="s">
        <v>27</v>
      </c>
      <c r="AM5" s="20" t="s">
        <v>28</v>
      </c>
      <c r="AN5" s="22" t="s">
        <v>29</v>
      </c>
    </row>
    <row r="6" customHeight="1" spans="1:40">
      <c r="A6" s="24">
        <v>1</v>
      </c>
      <c r="B6" s="320" t="s">
        <v>288</v>
      </c>
      <c r="C6" s="26" t="s">
        <v>289</v>
      </c>
      <c r="D6" s="321" t="s">
        <v>29</v>
      </c>
      <c r="E6" s="321" t="s">
        <v>29</v>
      </c>
      <c r="F6" s="321" t="s">
        <v>29</v>
      </c>
      <c r="G6" s="321" t="s">
        <v>29</v>
      </c>
      <c r="H6" s="321" t="s">
        <v>29</v>
      </c>
      <c r="I6" s="321" t="s">
        <v>29</v>
      </c>
      <c r="J6" s="321" t="s">
        <v>29</v>
      </c>
      <c r="K6" s="321" t="s">
        <v>29</v>
      </c>
      <c r="L6" s="321" t="s">
        <v>29</v>
      </c>
      <c r="M6" s="321" t="s">
        <v>29</v>
      </c>
      <c r="N6" s="321" t="s">
        <v>29</v>
      </c>
      <c r="O6" s="321" t="s">
        <v>29</v>
      </c>
      <c r="P6" s="321" t="s">
        <v>29</v>
      </c>
      <c r="Q6" s="321" t="s">
        <v>29</v>
      </c>
      <c r="R6" s="321" t="s">
        <v>29</v>
      </c>
      <c r="S6" s="321" t="s">
        <v>29</v>
      </c>
      <c r="T6" s="321" t="s">
        <v>29</v>
      </c>
      <c r="U6" s="321" t="s">
        <v>29</v>
      </c>
      <c r="V6" s="321" t="s">
        <v>29</v>
      </c>
      <c r="W6" s="321" t="s">
        <v>29</v>
      </c>
      <c r="X6" s="321" t="s">
        <v>29</v>
      </c>
      <c r="Y6" s="321" t="s">
        <v>29</v>
      </c>
      <c r="Z6" s="321" t="s">
        <v>29</v>
      </c>
      <c r="AA6" s="321" t="s">
        <v>29</v>
      </c>
      <c r="AB6" s="321" t="s">
        <v>29</v>
      </c>
      <c r="AC6" s="321" t="s">
        <v>29</v>
      </c>
      <c r="AD6" s="321" t="s">
        <v>29</v>
      </c>
      <c r="AE6" s="321" t="s">
        <v>29</v>
      </c>
      <c r="AF6" s="34">
        <f>SUM(D6,F6,H6,J6,L6,N6,P6,R6,T6,V6,X6,Z6,AB6,AD6)</f>
        <v>0</v>
      </c>
      <c r="AG6" s="35"/>
      <c r="AH6" s="34">
        <f>_xlfn.RANK.AVG(AF6,$AF$6:$AF$34,0)</f>
        <v>29</v>
      </c>
      <c r="AI6" s="36">
        <f t="shared" ref="AI6:AI34" si="0">COUNTIF(D6:AE6,"A")</f>
        <v>0</v>
      </c>
      <c r="AJ6" s="36">
        <f>COUNTIF(D6:AE6,"B")</f>
        <v>0</v>
      </c>
      <c r="AK6" s="36">
        <f>COUNTIF(D6:AE6,"C")</f>
        <v>0</v>
      </c>
      <c r="AL6" s="36">
        <f>COUNTIF(E6:AE6,"S")</f>
        <v>0</v>
      </c>
      <c r="AM6" s="36">
        <f>COUNTIF(D6:AE6,"W")</f>
        <v>0</v>
      </c>
      <c r="AN6" s="37">
        <f>(COUNTIF(D6:AE6,"AB"))/2</f>
        <v>14</v>
      </c>
    </row>
    <row r="7" ht="19.15" customHeight="1" spans="1:40">
      <c r="A7" s="39">
        <v>2</v>
      </c>
      <c r="B7" s="320" t="s">
        <v>290</v>
      </c>
      <c r="C7" s="26" t="s">
        <v>289</v>
      </c>
      <c r="D7" s="41">
        <v>53</v>
      </c>
      <c r="E7" s="28" t="str">
        <f>IF(D7&gt;=75,"A",IF(D7&gt;=65,"B",IF(D7&gt;=50,"C",IF(D7&gt;=40,"S","W"))))</f>
        <v>C</v>
      </c>
      <c r="F7" s="41">
        <v>40</v>
      </c>
      <c r="G7" s="27" t="str">
        <f>IF(F7&gt;=75,"A",IF(F7&gt;=65,"B",IF(F7&gt;=50,"C",IF(F7&gt;=40,"S","W"))))</f>
        <v>S</v>
      </c>
      <c r="H7" s="41">
        <v>40</v>
      </c>
      <c r="I7" s="29" t="str">
        <f>IF(H7&gt;=75,"A",IF(H7&gt;=65,"B",IF(H7&gt;=50,"C",IF(H7&gt;=40,"S","W"))))</f>
        <v>S</v>
      </c>
      <c r="J7" s="41">
        <v>47</v>
      </c>
      <c r="K7" s="31" t="str">
        <f>IF(J7&gt;=75,"A",IF(J7&gt;=65,"B",IF(J7&gt;=50,"C",IF(J7&gt;=40,"S","W"))))</f>
        <v>S</v>
      </c>
      <c r="L7" s="41">
        <v>29</v>
      </c>
      <c r="M7" s="29" t="str">
        <f>IF(L7&gt;=75,"A",IF(L7&gt;=65,"B",IF(L7&gt;=50,"C",IF(L7&gt;=40,"S","W"))))</f>
        <v>W</v>
      </c>
      <c r="N7" s="41">
        <v>54</v>
      </c>
      <c r="O7" s="29" t="str">
        <f>IF(N7&gt;=75,"A",IF(N7&gt;=65,"B",IF(N7&gt;=50,"C",IF(N7&gt;=40,"S","W"))))</f>
        <v>C</v>
      </c>
      <c r="P7" s="43">
        <v>59</v>
      </c>
      <c r="Q7" s="32" t="str">
        <f>IF(P7&gt;=75,"A",IF(P7&gt;=65,"B",IF(P7&gt;=50,"C",IF(F7&gt;=40,"S","W"))))</f>
        <v>C</v>
      </c>
      <c r="R7" s="43">
        <v>34</v>
      </c>
      <c r="S7" s="32" t="str">
        <f>IF(R7&gt;=75,"A",IF(R7&gt;=65,"B",IF(R7&gt;=50,"C",IF(R7&gt;=40,"S","W"))))</f>
        <v>W</v>
      </c>
      <c r="T7" s="43">
        <v>22</v>
      </c>
      <c r="U7" s="32" t="str">
        <f>IF(T7&gt;=75,"A",IF(T7&gt;=65,"B",IF(T7&gt;=50,"C",IF(T7&gt;=40,"S","W"))))</f>
        <v>W</v>
      </c>
      <c r="V7" s="44"/>
      <c r="W7" s="33"/>
      <c r="X7" s="44"/>
      <c r="Y7" s="33"/>
      <c r="Z7" s="44">
        <v>33</v>
      </c>
      <c r="AA7" s="33" t="str">
        <f>IF(Z7&gt;=75,"A",IF(Z7&gt;=65,"B",IF(Z7&gt;=50,"C",IF(Z7&gt;=40,"S","W"))))</f>
        <v>W</v>
      </c>
      <c r="AB7" s="99">
        <v>55</v>
      </c>
      <c r="AC7" s="106" t="str">
        <f>IF(AB7&gt;=75,"A",IF(AB7&gt;=65,"B",IF(AB7&gt;=50,"C",IF(AB7&gt;=40,"S","W"))))</f>
        <v>C</v>
      </c>
      <c r="AD7" s="99">
        <v>72</v>
      </c>
      <c r="AE7" s="322" t="str">
        <f>IF(AD7&gt;=75,"A",IF(AD7&gt;=65,"B",IF(AD7&gt;=50,"C",IF(AD7&gt;=40,"S","W"))))</f>
        <v>B</v>
      </c>
      <c r="AF7" s="34">
        <f t="shared" ref="AF7:AF34" si="1">SUM(D7,F7,H7,J7,L7,N7,P7,R7,T7,V7,X7,Z7,AB7,AD7)</f>
        <v>538</v>
      </c>
      <c r="AG7" s="35">
        <f>AVERAGE(AF7:AF34/12)</f>
        <v>44.8333333333333</v>
      </c>
      <c r="AH7" s="34">
        <f t="shared" ref="AH7:AH34" si="2">_xlfn.RANK.AVG(AF7,$AF$6:$AF$34,0)</f>
        <v>6</v>
      </c>
      <c r="AI7" s="36">
        <f t="shared" si="0"/>
        <v>0</v>
      </c>
      <c r="AJ7" s="36">
        <f t="shared" ref="AJ7:AJ34" si="3">COUNTIF(D7:AE7,"B")</f>
        <v>1</v>
      </c>
      <c r="AK7" s="36">
        <f t="shared" ref="AK7:AK34" si="4">COUNTIF(D7:AE7,"C")</f>
        <v>4</v>
      </c>
      <c r="AL7" s="36">
        <f t="shared" ref="AL7:AL34" si="5">COUNTIF(E7:AE7,"S")</f>
        <v>3</v>
      </c>
      <c r="AM7" s="36">
        <f t="shared" ref="AM7:AM34" si="6">COUNTIF(D7:AE7,"W")</f>
        <v>4</v>
      </c>
      <c r="AN7" s="37">
        <f t="shared" ref="AN7:AN34" si="7">(COUNTIF(D7:AE7,"AB"))/2</f>
        <v>0</v>
      </c>
    </row>
    <row r="8" s="2" customFormat="1" ht="16.15" customHeight="1" spans="1:40">
      <c r="A8" s="24">
        <v>3</v>
      </c>
      <c r="B8" s="320" t="s">
        <v>291</v>
      </c>
      <c r="C8" s="26" t="s">
        <v>289</v>
      </c>
      <c r="D8" s="41">
        <v>25</v>
      </c>
      <c r="E8" s="28" t="str">
        <f t="shared" ref="E8:E32" si="8">IF(D8&gt;=75,"A",IF(D8&gt;=65,"B",IF(D8&gt;=50,"C",IF(D8&gt;=40,"S","W"))))</f>
        <v>W</v>
      </c>
      <c r="F8" s="45">
        <v>23</v>
      </c>
      <c r="G8" s="27" t="str">
        <f t="shared" ref="G8:G34" si="9">IF(F8&gt;=75,"A",IF(F8&gt;=65,"B",IF(F8&gt;=50,"C",IF(F8&gt;=40,"S","W"))))</f>
        <v>W</v>
      </c>
      <c r="H8" s="45">
        <v>20</v>
      </c>
      <c r="I8" s="29" t="str">
        <f t="shared" ref="I8:I34" si="10">IF(H8&gt;=75,"A",IF(H8&gt;=65,"B",IF(H8&gt;=50,"C",IF(H8&gt;=40,"S","W"))))</f>
        <v>W</v>
      </c>
      <c r="J8" s="49">
        <v>9</v>
      </c>
      <c r="K8" s="31" t="str">
        <f t="shared" ref="K8:K34" si="11">IF(J8&gt;=75,"A",IF(J8&gt;=65,"B",IF(J8&gt;=50,"C",IF(J8&gt;=40,"S","W"))))</f>
        <v>W</v>
      </c>
      <c r="L8" s="41">
        <v>16</v>
      </c>
      <c r="M8" s="29" t="str">
        <f t="shared" ref="M8:M34" si="12">IF(L8&gt;=75,"A",IF(L8&gt;=65,"B",IF(L8&gt;=50,"C",IF(L8&gt;=40,"S","W"))))</f>
        <v>W</v>
      </c>
      <c r="N8" s="41">
        <v>25</v>
      </c>
      <c r="O8" s="29" t="str">
        <f t="shared" ref="O8:O34" si="13">IF(N8&gt;=75,"A",IF(N8&gt;=65,"B",IF(N8&gt;=50,"C",IF(N8&gt;=40,"S","W"))))</f>
        <v>W</v>
      </c>
      <c r="P8" s="43">
        <v>14</v>
      </c>
      <c r="Q8" s="32" t="str">
        <f t="shared" ref="Q8:Q18" si="14">IF(P8&gt;=75,"A",IF(P8&gt;=65,"B",IF(P8&gt;=50,"C",IF(F8&gt;=40,"S","W"))))</f>
        <v>W</v>
      </c>
      <c r="R8" s="43">
        <v>23</v>
      </c>
      <c r="S8" s="32" t="str">
        <f t="shared" ref="S8:S34" si="15">IF(R8&gt;=75,"A",IF(R8&gt;=65,"B",IF(R8&gt;=50,"C",IF(R8&gt;=40,"S","W"))))</f>
        <v>W</v>
      </c>
      <c r="T8" s="43">
        <v>8</v>
      </c>
      <c r="U8" s="32" t="str">
        <f t="shared" ref="U8:U34" si="16">IF(T8&gt;=75,"A",IF(T8&gt;=65,"B",IF(T8&gt;=50,"C",IF(T8&gt;=40,"S","W"))))</f>
        <v>W</v>
      </c>
      <c r="V8" s="44">
        <v>29</v>
      </c>
      <c r="W8" s="33" t="str">
        <f>IF(V8&gt;=75,"A",IF(V8&gt;=65,"B",IF(V8&gt;=50,"C",IF(V8&gt;=40,"S","W"))))</f>
        <v>W</v>
      </c>
      <c r="X8" s="44"/>
      <c r="Y8" s="33"/>
      <c r="Z8" s="44"/>
      <c r="AA8" s="33"/>
      <c r="AB8" s="99">
        <v>35</v>
      </c>
      <c r="AC8" s="106" t="str">
        <f t="shared" ref="AC8:AC34" si="17">IF(AB8&gt;=75,"A",IF(AB8&gt;=65,"B",IF(AB8&gt;=50,"C",IF(AB8&gt;=40,"S","W"))))</f>
        <v>W</v>
      </c>
      <c r="AD8" s="99">
        <v>55</v>
      </c>
      <c r="AE8" s="322" t="str">
        <f t="shared" ref="AE8:AE34" si="18">IF(AD8&gt;=75,"A",IF(AD8&gt;=65,"B",IF(AD8&gt;=50,"C",IF(AD8&gt;=40,"S","W"))))</f>
        <v>C</v>
      </c>
      <c r="AF8" s="34">
        <f t="shared" si="1"/>
        <v>282</v>
      </c>
      <c r="AG8" s="35">
        <f t="shared" ref="AG8:AG34" si="19">AVERAGE(AF8:AF35/12)</f>
        <v>23.5</v>
      </c>
      <c r="AH8" s="34">
        <f t="shared" si="2"/>
        <v>25</v>
      </c>
      <c r="AI8" s="36">
        <f t="shared" si="0"/>
        <v>0</v>
      </c>
      <c r="AJ8" s="36">
        <f t="shared" si="3"/>
        <v>0</v>
      </c>
      <c r="AK8" s="36">
        <f t="shared" si="4"/>
        <v>1</v>
      </c>
      <c r="AL8" s="36">
        <f t="shared" si="5"/>
        <v>0</v>
      </c>
      <c r="AM8" s="36">
        <f t="shared" si="6"/>
        <v>11</v>
      </c>
      <c r="AN8" s="37">
        <f t="shared" si="7"/>
        <v>0</v>
      </c>
    </row>
    <row r="9" s="2" customFormat="1" ht="16.15" customHeight="1" spans="1:40">
      <c r="A9" s="39">
        <v>4</v>
      </c>
      <c r="B9" s="320" t="s">
        <v>292</v>
      </c>
      <c r="C9" s="26" t="s">
        <v>289</v>
      </c>
      <c r="D9" s="41">
        <v>32</v>
      </c>
      <c r="E9" s="28" t="str">
        <f t="shared" si="8"/>
        <v>W</v>
      </c>
      <c r="F9" s="45">
        <v>21</v>
      </c>
      <c r="G9" s="27" t="str">
        <f t="shared" si="9"/>
        <v>W</v>
      </c>
      <c r="H9" s="45">
        <v>38</v>
      </c>
      <c r="I9" s="29" t="str">
        <f t="shared" si="10"/>
        <v>W</v>
      </c>
      <c r="J9" s="49">
        <v>18</v>
      </c>
      <c r="K9" s="31" t="str">
        <f t="shared" si="11"/>
        <v>W</v>
      </c>
      <c r="L9" s="41">
        <v>16</v>
      </c>
      <c r="M9" s="29" t="str">
        <f t="shared" si="12"/>
        <v>W</v>
      </c>
      <c r="N9" s="49">
        <v>31</v>
      </c>
      <c r="O9" s="29" t="str">
        <f t="shared" si="13"/>
        <v>W</v>
      </c>
      <c r="P9" s="43">
        <v>20</v>
      </c>
      <c r="Q9" s="32" t="str">
        <f t="shared" si="14"/>
        <v>W</v>
      </c>
      <c r="R9" s="323">
        <v>23</v>
      </c>
      <c r="S9" s="32" t="str">
        <f t="shared" si="15"/>
        <v>W</v>
      </c>
      <c r="T9" s="43">
        <v>16</v>
      </c>
      <c r="U9" s="32" t="str">
        <f t="shared" si="16"/>
        <v>W</v>
      </c>
      <c r="V9" s="44">
        <v>29</v>
      </c>
      <c r="W9" s="33" t="str">
        <f t="shared" ref="W9:W30" si="20">IF(V9&gt;=75,"A",IF(V9&gt;=65,"B",IF(V9&gt;=50,"C",IF(V9&gt;=40,"S","W"))))</f>
        <v>W</v>
      </c>
      <c r="X9" s="44"/>
      <c r="Y9" s="33"/>
      <c r="Z9" s="44"/>
      <c r="AA9" s="33"/>
      <c r="AB9" s="99">
        <v>32</v>
      </c>
      <c r="AC9" s="106" t="str">
        <f t="shared" si="17"/>
        <v>W</v>
      </c>
      <c r="AD9" s="99">
        <v>72</v>
      </c>
      <c r="AE9" s="322" t="str">
        <f t="shared" si="18"/>
        <v>B</v>
      </c>
      <c r="AF9" s="34">
        <f t="shared" si="1"/>
        <v>348</v>
      </c>
      <c r="AG9" s="35">
        <f t="shared" si="19"/>
        <v>29</v>
      </c>
      <c r="AH9" s="34">
        <f t="shared" si="2"/>
        <v>21</v>
      </c>
      <c r="AI9" s="36">
        <f t="shared" si="0"/>
        <v>0</v>
      </c>
      <c r="AJ9" s="36">
        <f t="shared" si="3"/>
        <v>1</v>
      </c>
      <c r="AK9" s="36">
        <f t="shared" si="4"/>
        <v>0</v>
      </c>
      <c r="AL9" s="36">
        <f t="shared" si="5"/>
        <v>0</v>
      </c>
      <c r="AM9" s="36">
        <f t="shared" si="6"/>
        <v>11</v>
      </c>
      <c r="AN9" s="37">
        <f t="shared" si="7"/>
        <v>0</v>
      </c>
    </row>
    <row r="10" s="2" customFormat="1" ht="16.15" customHeight="1" spans="1:40">
      <c r="A10" s="24">
        <v>5</v>
      </c>
      <c r="B10" s="320" t="s">
        <v>293</v>
      </c>
      <c r="C10" s="26" t="s">
        <v>289</v>
      </c>
      <c r="D10" s="41">
        <v>30</v>
      </c>
      <c r="E10" s="28" t="str">
        <f t="shared" si="8"/>
        <v>W</v>
      </c>
      <c r="F10" s="41">
        <v>20</v>
      </c>
      <c r="G10" s="27" t="str">
        <f t="shared" si="9"/>
        <v>W</v>
      </c>
      <c r="H10" s="41">
        <v>40</v>
      </c>
      <c r="I10" s="29" t="str">
        <f t="shared" si="10"/>
        <v>S</v>
      </c>
      <c r="J10" s="49">
        <v>25</v>
      </c>
      <c r="K10" s="31" t="str">
        <f t="shared" si="11"/>
        <v>W</v>
      </c>
      <c r="L10" s="41">
        <v>8</v>
      </c>
      <c r="M10" s="29" t="str">
        <f t="shared" si="12"/>
        <v>W</v>
      </c>
      <c r="N10" s="49">
        <v>27</v>
      </c>
      <c r="O10" s="29" t="str">
        <f t="shared" si="13"/>
        <v>W</v>
      </c>
      <c r="P10" s="43">
        <v>25</v>
      </c>
      <c r="Q10" s="32" t="str">
        <f t="shared" si="14"/>
        <v>W</v>
      </c>
      <c r="R10" s="43">
        <v>35</v>
      </c>
      <c r="S10" s="32" t="str">
        <f t="shared" si="15"/>
        <v>W</v>
      </c>
      <c r="T10" s="43">
        <v>10</v>
      </c>
      <c r="U10" s="32" t="str">
        <f t="shared" si="16"/>
        <v>W</v>
      </c>
      <c r="V10" s="44">
        <v>28</v>
      </c>
      <c r="W10" s="33" t="str">
        <f t="shared" si="20"/>
        <v>W</v>
      </c>
      <c r="X10" s="44"/>
      <c r="Y10" s="33"/>
      <c r="Z10" s="44"/>
      <c r="AA10" s="33"/>
      <c r="AB10" s="99">
        <v>40</v>
      </c>
      <c r="AC10" s="106" t="str">
        <f t="shared" si="17"/>
        <v>S</v>
      </c>
      <c r="AD10" s="99">
        <v>38</v>
      </c>
      <c r="AE10" s="322" t="str">
        <f t="shared" si="18"/>
        <v>W</v>
      </c>
      <c r="AF10" s="34">
        <f t="shared" si="1"/>
        <v>326</v>
      </c>
      <c r="AG10" s="35">
        <f t="shared" si="19"/>
        <v>27.1666666666667</v>
      </c>
      <c r="AH10" s="34">
        <f t="shared" si="2"/>
        <v>23</v>
      </c>
      <c r="AI10" s="36">
        <f t="shared" si="0"/>
        <v>0</v>
      </c>
      <c r="AJ10" s="36">
        <f t="shared" si="3"/>
        <v>0</v>
      </c>
      <c r="AK10" s="36">
        <f t="shared" si="4"/>
        <v>0</v>
      </c>
      <c r="AL10" s="36">
        <f t="shared" si="5"/>
        <v>2</v>
      </c>
      <c r="AM10" s="36">
        <f t="shared" si="6"/>
        <v>10</v>
      </c>
      <c r="AN10" s="37">
        <f t="shared" si="7"/>
        <v>0</v>
      </c>
    </row>
    <row r="11" s="2" customFormat="1" ht="16.15" customHeight="1" spans="1:40">
      <c r="A11" s="39">
        <v>6</v>
      </c>
      <c r="B11" s="320" t="s">
        <v>294</v>
      </c>
      <c r="C11" s="26" t="s">
        <v>289</v>
      </c>
      <c r="D11" s="41">
        <v>65</v>
      </c>
      <c r="E11" s="28" t="str">
        <f t="shared" si="8"/>
        <v>B</v>
      </c>
      <c r="F11" s="41">
        <v>54</v>
      </c>
      <c r="G11" s="27" t="str">
        <f t="shared" si="9"/>
        <v>C</v>
      </c>
      <c r="H11" s="41">
        <v>66</v>
      </c>
      <c r="I11" s="29" t="str">
        <f t="shared" si="10"/>
        <v>B</v>
      </c>
      <c r="J11" s="49">
        <v>58</v>
      </c>
      <c r="K11" s="31" t="str">
        <f t="shared" si="11"/>
        <v>C</v>
      </c>
      <c r="L11" s="41">
        <v>38</v>
      </c>
      <c r="M11" s="29" t="str">
        <f t="shared" si="12"/>
        <v>W</v>
      </c>
      <c r="N11" s="49">
        <v>65</v>
      </c>
      <c r="O11" s="29" t="str">
        <f t="shared" si="13"/>
        <v>B</v>
      </c>
      <c r="P11" s="43">
        <v>63</v>
      </c>
      <c r="Q11" s="32" t="str">
        <f t="shared" si="14"/>
        <v>C</v>
      </c>
      <c r="R11" s="323">
        <v>47</v>
      </c>
      <c r="S11" s="32" t="str">
        <f t="shared" si="15"/>
        <v>S</v>
      </c>
      <c r="T11" s="43">
        <v>69</v>
      </c>
      <c r="U11" s="32" t="str">
        <f t="shared" si="16"/>
        <v>B</v>
      </c>
      <c r="V11" s="44"/>
      <c r="W11" s="33"/>
      <c r="X11" s="44"/>
      <c r="Y11" s="33"/>
      <c r="Z11" s="44">
        <v>58</v>
      </c>
      <c r="AA11" s="33" t="str">
        <f t="shared" ref="AA11:AA21" si="21">IF(Z11&gt;=75,"A",IF(Z11&gt;=65,"B",IF(Z11&gt;=50,"C",IF(Z11&gt;=40,"S","W"))))</f>
        <v>C</v>
      </c>
      <c r="AB11" s="99">
        <v>62</v>
      </c>
      <c r="AC11" s="106" t="str">
        <f t="shared" si="17"/>
        <v>C</v>
      </c>
      <c r="AD11" s="99">
        <v>76</v>
      </c>
      <c r="AE11" s="322" t="str">
        <f t="shared" si="18"/>
        <v>A</v>
      </c>
      <c r="AF11" s="34">
        <f t="shared" si="1"/>
        <v>721</v>
      </c>
      <c r="AG11" s="35">
        <f t="shared" si="19"/>
        <v>60.0833333333333</v>
      </c>
      <c r="AH11" s="34">
        <f t="shared" si="2"/>
        <v>3</v>
      </c>
      <c r="AI11" s="36">
        <f t="shared" si="0"/>
        <v>1</v>
      </c>
      <c r="AJ11" s="36">
        <f t="shared" si="3"/>
        <v>4</v>
      </c>
      <c r="AK11" s="36">
        <f t="shared" si="4"/>
        <v>5</v>
      </c>
      <c r="AL11" s="36">
        <f t="shared" si="5"/>
        <v>1</v>
      </c>
      <c r="AM11" s="36">
        <f t="shared" si="6"/>
        <v>1</v>
      </c>
      <c r="AN11" s="37">
        <f t="shared" si="7"/>
        <v>0</v>
      </c>
    </row>
    <row r="12" s="2" customFormat="1" ht="16.15" customHeight="1" spans="1:40">
      <c r="A12" s="24">
        <v>7</v>
      </c>
      <c r="B12" s="320" t="s">
        <v>295</v>
      </c>
      <c r="C12" s="26" t="s">
        <v>289</v>
      </c>
      <c r="D12" s="41">
        <v>38</v>
      </c>
      <c r="E12" s="28" t="str">
        <f t="shared" si="8"/>
        <v>W</v>
      </c>
      <c r="F12" s="46" t="s">
        <v>29</v>
      </c>
      <c r="G12" s="46" t="s">
        <v>29</v>
      </c>
      <c r="H12" s="46" t="s">
        <v>29</v>
      </c>
      <c r="I12" s="46" t="s">
        <v>29</v>
      </c>
      <c r="J12" s="46" t="s">
        <v>29</v>
      </c>
      <c r="K12" s="46" t="s">
        <v>29</v>
      </c>
      <c r="L12" s="41">
        <v>23</v>
      </c>
      <c r="M12" s="29" t="str">
        <f t="shared" si="12"/>
        <v>W</v>
      </c>
      <c r="N12" s="49">
        <v>39</v>
      </c>
      <c r="O12" s="29" t="str">
        <f t="shared" si="13"/>
        <v>W</v>
      </c>
      <c r="P12" s="43">
        <v>60</v>
      </c>
      <c r="Q12" s="32" t="str">
        <f t="shared" si="14"/>
        <v>C</v>
      </c>
      <c r="R12" s="323">
        <v>20</v>
      </c>
      <c r="S12" s="32" t="str">
        <f t="shared" si="15"/>
        <v>W</v>
      </c>
      <c r="T12" s="43">
        <v>56</v>
      </c>
      <c r="U12" s="32" t="str">
        <f t="shared" si="16"/>
        <v>C</v>
      </c>
      <c r="V12" s="44">
        <v>7</v>
      </c>
      <c r="W12" s="33" t="str">
        <f t="shared" si="20"/>
        <v>W</v>
      </c>
      <c r="X12" s="44"/>
      <c r="Y12" s="33"/>
      <c r="Z12" s="44"/>
      <c r="AA12" s="33"/>
      <c r="AB12" s="99">
        <v>18</v>
      </c>
      <c r="AC12" s="106" t="str">
        <f t="shared" si="17"/>
        <v>W</v>
      </c>
      <c r="AD12" s="99">
        <v>20</v>
      </c>
      <c r="AE12" s="322" t="str">
        <f t="shared" si="18"/>
        <v>W</v>
      </c>
      <c r="AF12" s="34">
        <f t="shared" si="1"/>
        <v>281</v>
      </c>
      <c r="AG12" s="35">
        <f t="shared" si="19"/>
        <v>23.4166666666667</v>
      </c>
      <c r="AH12" s="34">
        <f t="shared" si="2"/>
        <v>26</v>
      </c>
      <c r="AI12" s="36">
        <f t="shared" si="0"/>
        <v>0</v>
      </c>
      <c r="AJ12" s="36">
        <f t="shared" si="3"/>
        <v>0</v>
      </c>
      <c r="AK12" s="36">
        <f t="shared" si="4"/>
        <v>2</v>
      </c>
      <c r="AL12" s="36">
        <f t="shared" si="5"/>
        <v>0</v>
      </c>
      <c r="AM12" s="36">
        <f t="shared" si="6"/>
        <v>7</v>
      </c>
      <c r="AN12" s="37">
        <f t="shared" si="7"/>
        <v>3</v>
      </c>
    </row>
    <row r="13" s="2" customFormat="1" ht="16.15" customHeight="1" spans="1:40">
      <c r="A13" s="24">
        <v>8</v>
      </c>
      <c r="B13" s="320" t="s">
        <v>296</v>
      </c>
      <c r="C13" s="26" t="s">
        <v>289</v>
      </c>
      <c r="D13" s="41">
        <v>36</v>
      </c>
      <c r="E13" s="28" t="str">
        <f t="shared" si="8"/>
        <v>W</v>
      </c>
      <c r="F13" s="41">
        <v>20</v>
      </c>
      <c r="G13" s="27" t="str">
        <f t="shared" si="9"/>
        <v>W</v>
      </c>
      <c r="H13" s="41">
        <v>55</v>
      </c>
      <c r="I13" s="29" t="str">
        <f t="shared" si="10"/>
        <v>C</v>
      </c>
      <c r="J13" s="41">
        <v>8</v>
      </c>
      <c r="K13" s="31" t="str">
        <f t="shared" si="11"/>
        <v>W</v>
      </c>
      <c r="L13" s="49">
        <v>20</v>
      </c>
      <c r="M13" s="29" t="str">
        <f t="shared" si="12"/>
        <v>W</v>
      </c>
      <c r="N13" s="49">
        <v>32</v>
      </c>
      <c r="O13" s="29" t="str">
        <f t="shared" si="13"/>
        <v>W</v>
      </c>
      <c r="P13" s="84">
        <v>38</v>
      </c>
      <c r="Q13" s="32" t="str">
        <f t="shared" si="14"/>
        <v>W</v>
      </c>
      <c r="R13" s="43">
        <v>26</v>
      </c>
      <c r="S13" s="32" t="str">
        <f t="shared" si="15"/>
        <v>W</v>
      </c>
      <c r="T13" s="324">
        <v>16</v>
      </c>
      <c r="U13" s="32" t="str">
        <f t="shared" si="16"/>
        <v>W</v>
      </c>
      <c r="V13" s="44"/>
      <c r="W13" s="33"/>
      <c r="X13" s="44"/>
      <c r="Y13" s="33"/>
      <c r="Z13" s="44">
        <v>15</v>
      </c>
      <c r="AA13" s="33" t="str">
        <f t="shared" si="21"/>
        <v>W</v>
      </c>
      <c r="AB13" s="99">
        <v>65</v>
      </c>
      <c r="AC13" s="106" t="str">
        <f t="shared" si="17"/>
        <v>B</v>
      </c>
      <c r="AD13" s="99">
        <v>78</v>
      </c>
      <c r="AE13" s="322" t="str">
        <f t="shared" si="18"/>
        <v>A</v>
      </c>
      <c r="AF13" s="34">
        <f t="shared" si="1"/>
        <v>409</v>
      </c>
      <c r="AG13" s="35">
        <f t="shared" si="19"/>
        <v>34.0833333333333</v>
      </c>
      <c r="AH13" s="34">
        <f t="shared" si="2"/>
        <v>15</v>
      </c>
      <c r="AI13" s="36">
        <f t="shared" si="0"/>
        <v>1</v>
      </c>
      <c r="AJ13" s="36">
        <f t="shared" si="3"/>
        <v>1</v>
      </c>
      <c r="AK13" s="36">
        <f t="shared" si="4"/>
        <v>1</v>
      </c>
      <c r="AL13" s="36">
        <f t="shared" si="5"/>
        <v>0</v>
      </c>
      <c r="AM13" s="36">
        <f t="shared" si="6"/>
        <v>9</v>
      </c>
      <c r="AN13" s="37">
        <f t="shared" si="7"/>
        <v>0</v>
      </c>
    </row>
    <row r="14" s="2" customFormat="1" ht="16.15" customHeight="1" spans="1:40">
      <c r="A14" s="39">
        <v>9</v>
      </c>
      <c r="B14" s="320" t="s">
        <v>297</v>
      </c>
      <c r="C14" s="26" t="s">
        <v>289</v>
      </c>
      <c r="D14" s="41">
        <v>36</v>
      </c>
      <c r="E14" s="28" t="str">
        <f t="shared" si="8"/>
        <v>W</v>
      </c>
      <c r="F14" s="41">
        <v>14</v>
      </c>
      <c r="G14" s="27" t="str">
        <f t="shared" si="9"/>
        <v>W</v>
      </c>
      <c r="H14" s="41">
        <v>40</v>
      </c>
      <c r="I14" s="29" t="str">
        <f t="shared" si="10"/>
        <v>S</v>
      </c>
      <c r="J14" s="49">
        <v>22</v>
      </c>
      <c r="K14" s="31" t="str">
        <f t="shared" si="11"/>
        <v>W</v>
      </c>
      <c r="L14" s="41">
        <v>17</v>
      </c>
      <c r="M14" s="29" t="str">
        <f t="shared" si="12"/>
        <v>W</v>
      </c>
      <c r="N14" s="49">
        <v>24</v>
      </c>
      <c r="O14" s="29" t="str">
        <f t="shared" si="13"/>
        <v>W</v>
      </c>
      <c r="P14" s="43">
        <v>11</v>
      </c>
      <c r="Q14" s="32" t="str">
        <f t="shared" si="14"/>
        <v>W</v>
      </c>
      <c r="R14" s="43">
        <v>26</v>
      </c>
      <c r="S14" s="32" t="str">
        <f t="shared" si="15"/>
        <v>W</v>
      </c>
      <c r="T14" s="42" t="s">
        <v>29</v>
      </c>
      <c r="U14" s="42" t="s">
        <v>29</v>
      </c>
      <c r="V14" s="44">
        <v>24</v>
      </c>
      <c r="W14" s="33" t="str">
        <f t="shared" si="20"/>
        <v>W</v>
      </c>
      <c r="X14" s="44"/>
      <c r="Y14" s="33"/>
      <c r="Z14" s="44"/>
      <c r="AA14" s="33"/>
      <c r="AB14" s="99">
        <v>41</v>
      </c>
      <c r="AC14" s="106" t="str">
        <f t="shared" si="17"/>
        <v>S</v>
      </c>
      <c r="AD14" s="99">
        <v>35</v>
      </c>
      <c r="AE14" s="322" t="str">
        <f t="shared" si="18"/>
        <v>W</v>
      </c>
      <c r="AF14" s="34">
        <f t="shared" si="1"/>
        <v>290</v>
      </c>
      <c r="AG14" s="35">
        <f t="shared" si="19"/>
        <v>24.1666666666667</v>
      </c>
      <c r="AH14" s="34">
        <f t="shared" si="2"/>
        <v>24</v>
      </c>
      <c r="AI14" s="36">
        <f t="shared" si="0"/>
        <v>0</v>
      </c>
      <c r="AJ14" s="36">
        <f t="shared" si="3"/>
        <v>0</v>
      </c>
      <c r="AK14" s="36">
        <f t="shared" si="4"/>
        <v>0</v>
      </c>
      <c r="AL14" s="36">
        <f t="shared" si="5"/>
        <v>2</v>
      </c>
      <c r="AM14" s="36">
        <f t="shared" si="6"/>
        <v>9</v>
      </c>
      <c r="AN14" s="37">
        <f t="shared" si="7"/>
        <v>1</v>
      </c>
    </row>
    <row r="15" s="2" customFormat="1" ht="16.15" customHeight="1" spans="1:40">
      <c r="A15" s="24">
        <v>10</v>
      </c>
      <c r="B15" s="320" t="s">
        <v>298</v>
      </c>
      <c r="C15" s="26" t="s">
        <v>289</v>
      </c>
      <c r="D15" s="41">
        <v>32</v>
      </c>
      <c r="E15" s="28" t="str">
        <f t="shared" si="8"/>
        <v>W</v>
      </c>
      <c r="F15" s="41">
        <v>22</v>
      </c>
      <c r="G15" s="27" t="str">
        <f t="shared" si="9"/>
        <v>W</v>
      </c>
      <c r="H15" s="41">
        <v>26</v>
      </c>
      <c r="I15" s="29" t="str">
        <f t="shared" si="10"/>
        <v>W</v>
      </c>
      <c r="J15" s="49">
        <v>23</v>
      </c>
      <c r="K15" s="31" t="str">
        <f t="shared" si="11"/>
        <v>W</v>
      </c>
      <c r="L15" s="41">
        <v>21</v>
      </c>
      <c r="M15" s="29" t="str">
        <f t="shared" si="12"/>
        <v>W</v>
      </c>
      <c r="N15" s="49">
        <v>37</v>
      </c>
      <c r="O15" s="29" t="str">
        <f t="shared" si="13"/>
        <v>W</v>
      </c>
      <c r="P15" s="43">
        <v>33</v>
      </c>
      <c r="Q15" s="32" t="str">
        <f t="shared" si="14"/>
        <v>W</v>
      </c>
      <c r="R15" s="323">
        <v>38</v>
      </c>
      <c r="S15" s="32" t="str">
        <f t="shared" si="15"/>
        <v>W</v>
      </c>
      <c r="T15" s="43">
        <v>12</v>
      </c>
      <c r="U15" s="32" t="str">
        <f t="shared" si="16"/>
        <v>W</v>
      </c>
      <c r="V15" s="44"/>
      <c r="W15" s="33"/>
      <c r="X15" s="44">
        <v>51</v>
      </c>
      <c r="Y15" s="33" t="str">
        <f t="shared" ref="Y15:Y32" si="22">IF(X15&gt;=75,"A",IF(X15&gt;=65,"B",IF(X15&gt;=50,"C",IF(X15&gt;=40,"S","W"))))</f>
        <v>C</v>
      </c>
      <c r="Z15" s="44"/>
      <c r="AA15" s="33"/>
      <c r="AB15" s="99">
        <v>31</v>
      </c>
      <c r="AC15" s="106" t="str">
        <f t="shared" si="17"/>
        <v>W</v>
      </c>
      <c r="AD15" s="99">
        <v>35</v>
      </c>
      <c r="AE15" s="322" t="str">
        <f t="shared" si="18"/>
        <v>W</v>
      </c>
      <c r="AF15" s="34">
        <f t="shared" si="1"/>
        <v>361</v>
      </c>
      <c r="AG15" s="35">
        <f t="shared" si="19"/>
        <v>30.0833333333333</v>
      </c>
      <c r="AH15" s="34">
        <f t="shared" si="2"/>
        <v>20</v>
      </c>
      <c r="AI15" s="36">
        <f t="shared" si="0"/>
        <v>0</v>
      </c>
      <c r="AJ15" s="36">
        <f t="shared" si="3"/>
        <v>0</v>
      </c>
      <c r="AK15" s="36">
        <f t="shared" si="4"/>
        <v>1</v>
      </c>
      <c r="AL15" s="36">
        <f t="shared" si="5"/>
        <v>0</v>
      </c>
      <c r="AM15" s="36">
        <f t="shared" si="6"/>
        <v>11</v>
      </c>
      <c r="AN15" s="37">
        <f t="shared" si="7"/>
        <v>0</v>
      </c>
    </row>
    <row r="16" s="2" customFormat="1" ht="16.15" customHeight="1" spans="1:40">
      <c r="A16" s="24">
        <v>11</v>
      </c>
      <c r="B16" s="320" t="s">
        <v>299</v>
      </c>
      <c r="C16" s="26" t="s">
        <v>289</v>
      </c>
      <c r="D16" s="41">
        <v>46</v>
      </c>
      <c r="E16" s="28" t="str">
        <f t="shared" si="8"/>
        <v>S</v>
      </c>
      <c r="F16" s="41">
        <v>38</v>
      </c>
      <c r="G16" s="27" t="str">
        <f t="shared" si="9"/>
        <v>W</v>
      </c>
      <c r="H16" s="49">
        <v>67</v>
      </c>
      <c r="I16" s="29" t="str">
        <f t="shared" si="10"/>
        <v>B</v>
      </c>
      <c r="J16" s="49">
        <v>21</v>
      </c>
      <c r="K16" s="31" t="str">
        <f t="shared" si="11"/>
        <v>W</v>
      </c>
      <c r="L16" s="41">
        <v>42</v>
      </c>
      <c r="M16" s="29" t="str">
        <f t="shared" si="12"/>
        <v>S</v>
      </c>
      <c r="N16" s="49">
        <v>52</v>
      </c>
      <c r="O16" s="29" t="str">
        <f t="shared" si="13"/>
        <v>C</v>
      </c>
      <c r="P16" s="43">
        <v>63</v>
      </c>
      <c r="Q16" s="32" t="str">
        <f t="shared" si="14"/>
        <v>C</v>
      </c>
      <c r="R16" s="43">
        <v>66</v>
      </c>
      <c r="S16" s="32" t="str">
        <f t="shared" si="15"/>
        <v>B</v>
      </c>
      <c r="T16" s="43">
        <v>4</v>
      </c>
      <c r="U16" s="32" t="str">
        <f t="shared" si="16"/>
        <v>W</v>
      </c>
      <c r="V16" s="44"/>
      <c r="W16" s="33"/>
      <c r="X16" s="44"/>
      <c r="Y16" s="33"/>
      <c r="Z16" s="44">
        <v>58</v>
      </c>
      <c r="AA16" s="33" t="str">
        <f t="shared" si="21"/>
        <v>C</v>
      </c>
      <c r="AB16" s="99">
        <v>84</v>
      </c>
      <c r="AC16" s="106" t="str">
        <f t="shared" si="17"/>
        <v>A</v>
      </c>
      <c r="AD16" s="99">
        <v>63</v>
      </c>
      <c r="AE16" s="322" t="str">
        <f t="shared" si="18"/>
        <v>C</v>
      </c>
      <c r="AF16" s="34">
        <f t="shared" si="1"/>
        <v>604</v>
      </c>
      <c r="AG16" s="35">
        <f t="shared" si="19"/>
        <v>50.3333333333333</v>
      </c>
      <c r="AH16" s="34">
        <f t="shared" si="2"/>
        <v>4</v>
      </c>
      <c r="AI16" s="36">
        <f t="shared" si="0"/>
        <v>1</v>
      </c>
      <c r="AJ16" s="36">
        <f t="shared" si="3"/>
        <v>2</v>
      </c>
      <c r="AK16" s="36">
        <f t="shared" si="4"/>
        <v>4</v>
      </c>
      <c r="AL16" s="36">
        <f t="shared" si="5"/>
        <v>2</v>
      </c>
      <c r="AM16" s="36">
        <f t="shared" si="6"/>
        <v>3</v>
      </c>
      <c r="AN16" s="37">
        <f t="shared" si="7"/>
        <v>0</v>
      </c>
    </row>
    <row r="17" s="2" customFormat="1" ht="16.15" customHeight="1" spans="1:40">
      <c r="A17" s="39">
        <v>12</v>
      </c>
      <c r="B17" s="320" t="s">
        <v>300</v>
      </c>
      <c r="C17" s="26" t="s">
        <v>289</v>
      </c>
      <c r="D17" s="41">
        <v>28</v>
      </c>
      <c r="E17" s="28" t="str">
        <f t="shared" si="8"/>
        <v>W</v>
      </c>
      <c r="F17" s="41">
        <v>14</v>
      </c>
      <c r="G17" s="27" t="str">
        <f t="shared" si="9"/>
        <v>W</v>
      </c>
      <c r="H17" s="41">
        <v>38</v>
      </c>
      <c r="I17" s="29" t="str">
        <f t="shared" si="10"/>
        <v>W</v>
      </c>
      <c r="J17" s="49">
        <v>31</v>
      </c>
      <c r="K17" s="31" t="str">
        <f t="shared" si="11"/>
        <v>W</v>
      </c>
      <c r="L17" s="41">
        <v>25</v>
      </c>
      <c r="M17" s="29" t="str">
        <f t="shared" si="12"/>
        <v>W</v>
      </c>
      <c r="N17" s="49">
        <v>26</v>
      </c>
      <c r="O17" s="29" t="str">
        <f t="shared" si="13"/>
        <v>W</v>
      </c>
      <c r="P17" s="43">
        <v>34</v>
      </c>
      <c r="Q17" s="32" t="str">
        <f t="shared" si="14"/>
        <v>W</v>
      </c>
      <c r="R17" s="43">
        <v>42</v>
      </c>
      <c r="S17" s="32" t="str">
        <f t="shared" si="15"/>
        <v>S</v>
      </c>
      <c r="T17" s="43">
        <v>17</v>
      </c>
      <c r="U17" s="32" t="str">
        <f t="shared" si="16"/>
        <v>W</v>
      </c>
      <c r="V17" s="44"/>
      <c r="W17" s="33"/>
      <c r="X17" s="44"/>
      <c r="Y17" s="33"/>
      <c r="Z17" s="44">
        <v>23</v>
      </c>
      <c r="AA17" s="33" t="str">
        <f t="shared" si="21"/>
        <v>W</v>
      </c>
      <c r="AB17" s="99">
        <v>55</v>
      </c>
      <c r="AC17" s="106" t="str">
        <f t="shared" si="17"/>
        <v>C</v>
      </c>
      <c r="AD17" s="99">
        <v>74</v>
      </c>
      <c r="AE17" s="322" t="str">
        <f t="shared" si="18"/>
        <v>B</v>
      </c>
      <c r="AF17" s="34">
        <f t="shared" si="1"/>
        <v>407</v>
      </c>
      <c r="AG17" s="35">
        <f t="shared" si="19"/>
        <v>33.9166666666667</v>
      </c>
      <c r="AH17" s="34">
        <f t="shared" si="2"/>
        <v>16.5</v>
      </c>
      <c r="AI17" s="36">
        <f t="shared" si="0"/>
        <v>0</v>
      </c>
      <c r="AJ17" s="36">
        <f t="shared" si="3"/>
        <v>1</v>
      </c>
      <c r="AK17" s="36">
        <f t="shared" si="4"/>
        <v>1</v>
      </c>
      <c r="AL17" s="36">
        <f t="shared" si="5"/>
        <v>1</v>
      </c>
      <c r="AM17" s="36">
        <f t="shared" si="6"/>
        <v>9</v>
      </c>
      <c r="AN17" s="37">
        <f t="shared" si="7"/>
        <v>0</v>
      </c>
    </row>
    <row r="18" s="2" customFormat="1" ht="16.15" customHeight="1" spans="1:40">
      <c r="A18" s="24">
        <v>13</v>
      </c>
      <c r="B18" s="320" t="s">
        <v>301</v>
      </c>
      <c r="C18" s="26" t="s">
        <v>289</v>
      </c>
      <c r="D18" s="41">
        <v>24</v>
      </c>
      <c r="E18" s="28" t="str">
        <f t="shared" si="8"/>
        <v>W</v>
      </c>
      <c r="F18" s="41">
        <v>20</v>
      </c>
      <c r="G18" s="27" t="str">
        <f t="shared" si="9"/>
        <v>W</v>
      </c>
      <c r="H18" s="41">
        <v>53</v>
      </c>
      <c r="I18" s="29" t="str">
        <f t="shared" si="10"/>
        <v>C</v>
      </c>
      <c r="J18" s="49">
        <v>39</v>
      </c>
      <c r="K18" s="31" t="str">
        <f t="shared" si="11"/>
        <v>W</v>
      </c>
      <c r="L18" s="41">
        <v>21</v>
      </c>
      <c r="M18" s="29" t="str">
        <f t="shared" si="12"/>
        <v>W</v>
      </c>
      <c r="N18" s="49">
        <v>19</v>
      </c>
      <c r="O18" s="29" t="str">
        <f t="shared" si="13"/>
        <v>W</v>
      </c>
      <c r="P18" s="43">
        <v>40</v>
      </c>
      <c r="Q18" s="32" t="str">
        <f t="shared" si="14"/>
        <v>W</v>
      </c>
      <c r="R18" s="43">
        <v>27</v>
      </c>
      <c r="S18" s="32" t="str">
        <f t="shared" si="15"/>
        <v>W</v>
      </c>
      <c r="T18" s="43">
        <v>14</v>
      </c>
      <c r="U18" s="32" t="str">
        <f t="shared" si="16"/>
        <v>W</v>
      </c>
      <c r="V18" s="44"/>
      <c r="W18" s="33"/>
      <c r="X18" s="44"/>
      <c r="Y18" s="33"/>
      <c r="Z18" s="44">
        <v>18</v>
      </c>
      <c r="AA18" s="33" t="str">
        <f t="shared" si="21"/>
        <v>W</v>
      </c>
      <c r="AB18" s="99">
        <v>43</v>
      </c>
      <c r="AC18" s="106" t="str">
        <f t="shared" si="17"/>
        <v>S</v>
      </c>
      <c r="AD18" s="99">
        <v>74</v>
      </c>
      <c r="AE18" s="322" t="str">
        <f t="shared" si="18"/>
        <v>B</v>
      </c>
      <c r="AF18" s="34">
        <f t="shared" si="1"/>
        <v>392</v>
      </c>
      <c r="AG18" s="35">
        <f t="shared" si="19"/>
        <v>32.6666666666667</v>
      </c>
      <c r="AH18" s="34">
        <f t="shared" si="2"/>
        <v>18</v>
      </c>
      <c r="AI18" s="36">
        <f t="shared" si="0"/>
        <v>0</v>
      </c>
      <c r="AJ18" s="36">
        <f t="shared" si="3"/>
        <v>1</v>
      </c>
      <c r="AK18" s="36">
        <f t="shared" si="4"/>
        <v>1</v>
      </c>
      <c r="AL18" s="36">
        <f t="shared" si="5"/>
        <v>1</v>
      </c>
      <c r="AM18" s="36">
        <f t="shared" si="6"/>
        <v>9</v>
      </c>
      <c r="AN18" s="37">
        <f t="shared" si="7"/>
        <v>0</v>
      </c>
    </row>
    <row r="19" s="2" customFormat="1" ht="16.15" customHeight="1" spans="1:40">
      <c r="A19" s="24">
        <v>14</v>
      </c>
      <c r="B19" s="320" t="s">
        <v>302</v>
      </c>
      <c r="C19" s="26" t="s">
        <v>289</v>
      </c>
      <c r="D19" s="41">
        <v>44</v>
      </c>
      <c r="E19" s="28" t="str">
        <f t="shared" si="8"/>
        <v>S</v>
      </c>
      <c r="F19" s="41">
        <v>22</v>
      </c>
      <c r="G19" s="27" t="str">
        <f t="shared" si="9"/>
        <v>W</v>
      </c>
      <c r="H19" s="41">
        <v>49</v>
      </c>
      <c r="I19" s="29" t="str">
        <f t="shared" si="10"/>
        <v>S</v>
      </c>
      <c r="J19" s="49">
        <v>28</v>
      </c>
      <c r="K19" s="31" t="str">
        <f t="shared" si="11"/>
        <v>W</v>
      </c>
      <c r="L19" s="41">
        <v>19</v>
      </c>
      <c r="M19" s="29" t="str">
        <f t="shared" si="12"/>
        <v>W</v>
      </c>
      <c r="N19" s="49">
        <v>26</v>
      </c>
      <c r="O19" s="29" t="str">
        <f t="shared" si="13"/>
        <v>W</v>
      </c>
      <c r="P19" s="43">
        <v>30</v>
      </c>
      <c r="Q19" s="32" t="str">
        <f t="shared" ref="Q19:Q34" si="23">IF(P19&gt;=75,"A",IF(P19&gt;=65,"B",IF(P19&gt;=50,"C",IF(F19&gt;=40,"S","W"))))</f>
        <v>W</v>
      </c>
      <c r="R19" s="43">
        <v>28</v>
      </c>
      <c r="S19" s="32" t="str">
        <f t="shared" si="15"/>
        <v>W</v>
      </c>
      <c r="T19" s="43">
        <v>17</v>
      </c>
      <c r="U19" s="32" t="str">
        <f t="shared" si="16"/>
        <v>W</v>
      </c>
      <c r="V19" s="44"/>
      <c r="W19" s="33"/>
      <c r="X19" s="44">
        <v>76</v>
      </c>
      <c r="Y19" s="33" t="str">
        <f t="shared" si="22"/>
        <v>A</v>
      </c>
      <c r="Z19" s="44"/>
      <c r="AA19" s="33"/>
      <c r="AB19" s="99">
        <v>41</v>
      </c>
      <c r="AC19" s="106" t="str">
        <f t="shared" si="17"/>
        <v>S</v>
      </c>
      <c r="AD19" s="99">
        <v>72</v>
      </c>
      <c r="AE19" s="322" t="str">
        <f t="shared" si="18"/>
        <v>B</v>
      </c>
      <c r="AF19" s="34">
        <f t="shared" si="1"/>
        <v>452</v>
      </c>
      <c r="AG19" s="35">
        <f t="shared" si="19"/>
        <v>37.6666666666667</v>
      </c>
      <c r="AH19" s="34">
        <f t="shared" si="2"/>
        <v>13</v>
      </c>
      <c r="AI19" s="36">
        <f t="shared" si="0"/>
        <v>1</v>
      </c>
      <c r="AJ19" s="36">
        <f t="shared" si="3"/>
        <v>1</v>
      </c>
      <c r="AK19" s="36">
        <f t="shared" si="4"/>
        <v>0</v>
      </c>
      <c r="AL19" s="36">
        <f t="shared" si="5"/>
        <v>3</v>
      </c>
      <c r="AM19" s="36">
        <f t="shared" si="6"/>
        <v>7</v>
      </c>
      <c r="AN19" s="37">
        <f t="shared" si="7"/>
        <v>0</v>
      </c>
    </row>
    <row r="20" s="2" customFormat="1" ht="16.15" customHeight="1" spans="1:40">
      <c r="A20" s="39">
        <v>15</v>
      </c>
      <c r="B20" s="320" t="s">
        <v>303</v>
      </c>
      <c r="C20" s="26" t="s">
        <v>289</v>
      </c>
      <c r="D20" s="41">
        <v>40</v>
      </c>
      <c r="E20" s="28" t="str">
        <f t="shared" si="8"/>
        <v>S</v>
      </c>
      <c r="F20" s="41">
        <v>27</v>
      </c>
      <c r="G20" s="27" t="str">
        <f t="shared" si="9"/>
        <v>W</v>
      </c>
      <c r="H20" s="41">
        <v>69</v>
      </c>
      <c r="I20" s="29" t="str">
        <f t="shared" si="10"/>
        <v>B</v>
      </c>
      <c r="J20" s="49">
        <v>31</v>
      </c>
      <c r="K20" s="31" t="str">
        <f t="shared" si="11"/>
        <v>W</v>
      </c>
      <c r="L20" s="41">
        <v>23</v>
      </c>
      <c r="M20" s="29" t="str">
        <f t="shared" si="12"/>
        <v>W</v>
      </c>
      <c r="N20" s="49">
        <v>35</v>
      </c>
      <c r="O20" s="29" t="str">
        <f t="shared" si="13"/>
        <v>W</v>
      </c>
      <c r="P20" s="43">
        <v>26</v>
      </c>
      <c r="Q20" s="32" t="str">
        <f t="shared" si="23"/>
        <v>W</v>
      </c>
      <c r="R20" s="323">
        <v>39</v>
      </c>
      <c r="S20" s="32" t="str">
        <f t="shared" si="15"/>
        <v>W</v>
      </c>
      <c r="T20" s="43">
        <v>15</v>
      </c>
      <c r="U20" s="32" t="str">
        <f t="shared" si="16"/>
        <v>W</v>
      </c>
      <c r="V20" s="44"/>
      <c r="W20" s="33"/>
      <c r="X20" s="44">
        <v>74</v>
      </c>
      <c r="Y20" s="33" t="str">
        <f t="shared" si="22"/>
        <v>B</v>
      </c>
      <c r="Z20" s="44"/>
      <c r="AA20" s="33"/>
      <c r="AB20" s="99">
        <v>24</v>
      </c>
      <c r="AC20" s="106" t="str">
        <f t="shared" si="17"/>
        <v>W</v>
      </c>
      <c r="AD20" s="99">
        <v>71</v>
      </c>
      <c r="AE20" s="322" t="str">
        <f t="shared" si="18"/>
        <v>B</v>
      </c>
      <c r="AF20" s="34">
        <f t="shared" si="1"/>
        <v>474</v>
      </c>
      <c r="AG20" s="35">
        <f t="shared" si="19"/>
        <v>39.5</v>
      </c>
      <c r="AH20" s="34">
        <f t="shared" si="2"/>
        <v>12</v>
      </c>
      <c r="AI20" s="36">
        <f t="shared" si="0"/>
        <v>0</v>
      </c>
      <c r="AJ20" s="36">
        <f t="shared" si="3"/>
        <v>3</v>
      </c>
      <c r="AK20" s="36">
        <f t="shared" si="4"/>
        <v>0</v>
      </c>
      <c r="AL20" s="36">
        <f t="shared" si="5"/>
        <v>1</v>
      </c>
      <c r="AM20" s="36">
        <f t="shared" si="6"/>
        <v>8</v>
      </c>
      <c r="AN20" s="37">
        <f t="shared" si="7"/>
        <v>0</v>
      </c>
    </row>
    <row r="21" s="2" customFormat="1" ht="16.15" customHeight="1" spans="1:40">
      <c r="A21" s="24">
        <v>16</v>
      </c>
      <c r="B21" s="320" t="s">
        <v>304</v>
      </c>
      <c r="C21" s="26" t="s">
        <v>289</v>
      </c>
      <c r="D21" s="41">
        <v>26</v>
      </c>
      <c r="E21" s="28" t="str">
        <f t="shared" si="8"/>
        <v>W</v>
      </c>
      <c r="F21" s="41">
        <v>17</v>
      </c>
      <c r="G21" s="27" t="str">
        <f t="shared" si="9"/>
        <v>W</v>
      </c>
      <c r="H21" s="41">
        <v>24</v>
      </c>
      <c r="I21" s="29" t="str">
        <f t="shared" si="10"/>
        <v>W</v>
      </c>
      <c r="J21" s="49">
        <v>4</v>
      </c>
      <c r="K21" s="31" t="str">
        <f t="shared" si="11"/>
        <v>W</v>
      </c>
      <c r="L21" s="41">
        <v>12</v>
      </c>
      <c r="M21" s="29" t="str">
        <f t="shared" si="12"/>
        <v>W</v>
      </c>
      <c r="N21" s="49">
        <v>25</v>
      </c>
      <c r="O21" s="29" t="str">
        <f t="shared" si="13"/>
        <v>W</v>
      </c>
      <c r="P21" s="43">
        <v>20</v>
      </c>
      <c r="Q21" s="32" t="str">
        <f t="shared" si="23"/>
        <v>W</v>
      </c>
      <c r="R21" s="43">
        <v>22</v>
      </c>
      <c r="S21" s="32" t="str">
        <f t="shared" si="15"/>
        <v>W</v>
      </c>
      <c r="T21" s="43">
        <v>5</v>
      </c>
      <c r="U21" s="32" t="str">
        <f t="shared" si="16"/>
        <v>W</v>
      </c>
      <c r="V21" s="44"/>
      <c r="W21" s="33"/>
      <c r="X21" s="44"/>
      <c r="Y21" s="33"/>
      <c r="Z21" s="44">
        <v>8</v>
      </c>
      <c r="AA21" s="33" t="str">
        <f t="shared" si="21"/>
        <v>W</v>
      </c>
      <c r="AB21" s="99">
        <v>40</v>
      </c>
      <c r="AC21" s="106" t="str">
        <f t="shared" si="17"/>
        <v>S</v>
      </c>
      <c r="AD21" s="99">
        <v>75</v>
      </c>
      <c r="AE21" s="322" t="str">
        <f t="shared" si="18"/>
        <v>A</v>
      </c>
      <c r="AF21" s="34">
        <f t="shared" si="1"/>
        <v>278</v>
      </c>
      <c r="AG21" s="35">
        <f t="shared" si="19"/>
        <v>23.1666666666667</v>
      </c>
      <c r="AH21" s="34">
        <f t="shared" si="2"/>
        <v>27</v>
      </c>
      <c r="AI21" s="36">
        <f t="shared" si="0"/>
        <v>1</v>
      </c>
      <c r="AJ21" s="36">
        <f t="shared" si="3"/>
        <v>0</v>
      </c>
      <c r="AK21" s="36">
        <f t="shared" si="4"/>
        <v>0</v>
      </c>
      <c r="AL21" s="36">
        <f t="shared" si="5"/>
        <v>1</v>
      </c>
      <c r="AM21" s="36">
        <f t="shared" si="6"/>
        <v>10</v>
      </c>
      <c r="AN21" s="37">
        <f t="shared" si="7"/>
        <v>0</v>
      </c>
    </row>
    <row r="22" s="2" customFormat="1" ht="16.15" customHeight="1" spans="1:40">
      <c r="A22" s="24">
        <v>17</v>
      </c>
      <c r="B22" s="320" t="s">
        <v>305</v>
      </c>
      <c r="C22" s="26" t="s">
        <v>289</v>
      </c>
      <c r="D22" s="41">
        <v>35</v>
      </c>
      <c r="E22" s="28" t="str">
        <f t="shared" si="8"/>
        <v>W</v>
      </c>
      <c r="F22" s="41">
        <v>39</v>
      </c>
      <c r="G22" s="27" t="str">
        <f t="shared" si="9"/>
        <v>W</v>
      </c>
      <c r="H22" s="41">
        <v>71</v>
      </c>
      <c r="I22" s="29" t="str">
        <f t="shared" si="10"/>
        <v>B</v>
      </c>
      <c r="J22" s="49">
        <v>65</v>
      </c>
      <c r="K22" s="31" t="str">
        <f t="shared" si="11"/>
        <v>B</v>
      </c>
      <c r="L22" s="41">
        <v>41</v>
      </c>
      <c r="M22" s="29" t="str">
        <f t="shared" si="12"/>
        <v>S</v>
      </c>
      <c r="N22" s="49">
        <v>83</v>
      </c>
      <c r="O22" s="29" t="str">
        <f t="shared" si="13"/>
        <v>A</v>
      </c>
      <c r="P22" s="43">
        <v>78</v>
      </c>
      <c r="Q22" s="32" t="str">
        <f t="shared" si="23"/>
        <v>A</v>
      </c>
      <c r="R22" s="43">
        <v>66</v>
      </c>
      <c r="S22" s="32" t="str">
        <f t="shared" si="15"/>
        <v>B</v>
      </c>
      <c r="T22" s="43">
        <v>33</v>
      </c>
      <c r="U22" s="32" t="str">
        <f t="shared" si="16"/>
        <v>W</v>
      </c>
      <c r="V22" s="44"/>
      <c r="W22" s="33"/>
      <c r="X22" s="44">
        <v>72</v>
      </c>
      <c r="Y22" s="33" t="str">
        <f t="shared" si="22"/>
        <v>B</v>
      </c>
      <c r="Z22" s="44"/>
      <c r="AA22" s="33"/>
      <c r="AB22" s="99">
        <v>79</v>
      </c>
      <c r="AC22" s="106" t="str">
        <f t="shared" si="17"/>
        <v>A</v>
      </c>
      <c r="AD22" s="99">
        <v>83</v>
      </c>
      <c r="AE22" s="322" t="str">
        <f t="shared" si="18"/>
        <v>A</v>
      </c>
      <c r="AF22" s="34">
        <f t="shared" si="1"/>
        <v>745</v>
      </c>
      <c r="AG22" s="35">
        <f t="shared" si="19"/>
        <v>62.0833333333333</v>
      </c>
      <c r="AH22" s="34">
        <f t="shared" si="2"/>
        <v>2</v>
      </c>
      <c r="AI22" s="36">
        <f t="shared" si="0"/>
        <v>4</v>
      </c>
      <c r="AJ22" s="36">
        <f t="shared" si="3"/>
        <v>4</v>
      </c>
      <c r="AK22" s="36">
        <f t="shared" si="4"/>
        <v>0</v>
      </c>
      <c r="AL22" s="36">
        <f t="shared" si="5"/>
        <v>1</v>
      </c>
      <c r="AM22" s="36">
        <f t="shared" si="6"/>
        <v>3</v>
      </c>
      <c r="AN22" s="37">
        <f t="shared" si="7"/>
        <v>0</v>
      </c>
    </row>
    <row r="23" s="2" customFormat="1" ht="16.15" customHeight="1" spans="1:40">
      <c r="A23" s="39">
        <v>18</v>
      </c>
      <c r="B23" s="320" t="s">
        <v>306</v>
      </c>
      <c r="C23" s="26" t="s">
        <v>289</v>
      </c>
      <c r="D23" s="41">
        <v>81</v>
      </c>
      <c r="E23" s="28" t="str">
        <f t="shared" si="8"/>
        <v>A</v>
      </c>
      <c r="F23" s="41">
        <v>60</v>
      </c>
      <c r="G23" s="27" t="str">
        <f t="shared" si="9"/>
        <v>C</v>
      </c>
      <c r="H23" s="41">
        <v>94</v>
      </c>
      <c r="I23" s="29" t="str">
        <f t="shared" si="10"/>
        <v>A</v>
      </c>
      <c r="J23" s="49">
        <v>89</v>
      </c>
      <c r="K23" s="31" t="str">
        <f t="shared" si="11"/>
        <v>A</v>
      </c>
      <c r="L23" s="41">
        <v>66</v>
      </c>
      <c r="M23" s="29" t="str">
        <f t="shared" si="12"/>
        <v>B</v>
      </c>
      <c r="N23" s="49">
        <v>80</v>
      </c>
      <c r="O23" s="29" t="str">
        <f t="shared" si="13"/>
        <v>A</v>
      </c>
      <c r="P23" s="43">
        <v>82</v>
      </c>
      <c r="Q23" s="32" t="str">
        <f t="shared" si="23"/>
        <v>A</v>
      </c>
      <c r="R23" s="43">
        <v>77</v>
      </c>
      <c r="S23" s="32" t="str">
        <f t="shared" si="15"/>
        <v>A</v>
      </c>
      <c r="T23" s="43">
        <v>81</v>
      </c>
      <c r="U23" s="32" t="str">
        <f t="shared" si="16"/>
        <v>A</v>
      </c>
      <c r="V23" s="44"/>
      <c r="W23" s="33"/>
      <c r="X23" s="44">
        <v>78</v>
      </c>
      <c r="Y23" s="33" t="str">
        <f t="shared" si="22"/>
        <v>A</v>
      </c>
      <c r="Z23" s="44"/>
      <c r="AA23" s="33"/>
      <c r="AB23" s="99">
        <v>77</v>
      </c>
      <c r="AC23" s="106" t="str">
        <f t="shared" si="17"/>
        <v>A</v>
      </c>
      <c r="AD23" s="99">
        <v>88</v>
      </c>
      <c r="AE23" s="322" t="str">
        <f t="shared" si="18"/>
        <v>A</v>
      </c>
      <c r="AF23" s="34">
        <f t="shared" si="1"/>
        <v>953</v>
      </c>
      <c r="AG23" s="35">
        <f t="shared" si="19"/>
        <v>79.4166666666667</v>
      </c>
      <c r="AH23" s="34">
        <f t="shared" si="2"/>
        <v>1</v>
      </c>
      <c r="AI23" s="36">
        <f t="shared" si="0"/>
        <v>10</v>
      </c>
      <c r="AJ23" s="36">
        <f t="shared" si="3"/>
        <v>1</v>
      </c>
      <c r="AK23" s="36">
        <f t="shared" si="4"/>
        <v>1</v>
      </c>
      <c r="AL23" s="36">
        <f t="shared" si="5"/>
        <v>0</v>
      </c>
      <c r="AM23" s="36">
        <f t="shared" si="6"/>
        <v>0</v>
      </c>
      <c r="AN23" s="37">
        <f t="shared" si="7"/>
        <v>0</v>
      </c>
    </row>
    <row r="24" s="2" customFormat="1" ht="16.15" customHeight="1" spans="1:40">
      <c r="A24" s="24">
        <v>19</v>
      </c>
      <c r="B24" s="320" t="s">
        <v>307</v>
      </c>
      <c r="C24" s="26" t="s">
        <v>289</v>
      </c>
      <c r="D24" s="41">
        <v>57</v>
      </c>
      <c r="E24" s="28" t="str">
        <f t="shared" si="8"/>
        <v>C</v>
      </c>
      <c r="F24" s="41">
        <v>15</v>
      </c>
      <c r="G24" s="27" t="str">
        <f t="shared" si="9"/>
        <v>W</v>
      </c>
      <c r="H24" s="41">
        <v>43</v>
      </c>
      <c r="I24" s="29" t="str">
        <f t="shared" si="10"/>
        <v>S</v>
      </c>
      <c r="J24" s="49">
        <v>41</v>
      </c>
      <c r="K24" s="31" t="str">
        <f t="shared" si="11"/>
        <v>S</v>
      </c>
      <c r="L24" s="41">
        <v>31</v>
      </c>
      <c r="M24" s="29" t="str">
        <f t="shared" si="12"/>
        <v>W</v>
      </c>
      <c r="N24" s="49">
        <v>27</v>
      </c>
      <c r="O24" s="29" t="str">
        <f t="shared" si="13"/>
        <v>W</v>
      </c>
      <c r="P24" s="43">
        <v>42</v>
      </c>
      <c r="Q24" s="32" t="str">
        <f t="shared" si="23"/>
        <v>W</v>
      </c>
      <c r="R24" s="43">
        <v>23</v>
      </c>
      <c r="S24" s="32" t="str">
        <f t="shared" si="15"/>
        <v>W</v>
      </c>
      <c r="T24" s="43">
        <v>36</v>
      </c>
      <c r="U24" s="32" t="str">
        <f t="shared" si="16"/>
        <v>W</v>
      </c>
      <c r="V24" s="44"/>
      <c r="W24" s="33"/>
      <c r="X24" s="44">
        <v>76</v>
      </c>
      <c r="Y24" s="33" t="str">
        <f t="shared" si="22"/>
        <v>A</v>
      </c>
      <c r="Z24" s="44"/>
      <c r="AA24" s="33"/>
      <c r="AB24" s="99">
        <v>25</v>
      </c>
      <c r="AC24" s="106" t="str">
        <f t="shared" si="17"/>
        <v>W</v>
      </c>
      <c r="AD24" s="99">
        <v>80</v>
      </c>
      <c r="AE24" s="322" t="str">
        <f t="shared" si="18"/>
        <v>A</v>
      </c>
      <c r="AF24" s="34">
        <f t="shared" si="1"/>
        <v>496</v>
      </c>
      <c r="AG24" s="35">
        <f t="shared" si="19"/>
        <v>41.3333333333333</v>
      </c>
      <c r="AH24" s="34">
        <f t="shared" si="2"/>
        <v>8</v>
      </c>
      <c r="AI24" s="36">
        <f t="shared" si="0"/>
        <v>2</v>
      </c>
      <c r="AJ24" s="36">
        <f t="shared" si="3"/>
        <v>0</v>
      </c>
      <c r="AK24" s="36">
        <f t="shared" si="4"/>
        <v>1</v>
      </c>
      <c r="AL24" s="36">
        <f t="shared" si="5"/>
        <v>2</v>
      </c>
      <c r="AM24" s="36">
        <f t="shared" si="6"/>
        <v>7</v>
      </c>
      <c r="AN24" s="37">
        <f t="shared" si="7"/>
        <v>0</v>
      </c>
    </row>
    <row r="25" s="2" customFormat="1" ht="16.15" customHeight="1" spans="1:40">
      <c r="A25" s="24">
        <v>20</v>
      </c>
      <c r="B25" s="320" t="s">
        <v>308</v>
      </c>
      <c r="C25" s="26" t="s">
        <v>289</v>
      </c>
      <c r="D25" s="41">
        <v>55</v>
      </c>
      <c r="E25" s="28" t="str">
        <f t="shared" si="8"/>
        <v>C</v>
      </c>
      <c r="F25" s="41">
        <v>12</v>
      </c>
      <c r="G25" s="27" t="str">
        <f t="shared" si="9"/>
        <v>W</v>
      </c>
      <c r="H25" s="41">
        <v>39</v>
      </c>
      <c r="I25" s="29" t="str">
        <f t="shared" si="10"/>
        <v>W</v>
      </c>
      <c r="J25" s="49">
        <v>39</v>
      </c>
      <c r="K25" s="31" t="str">
        <f t="shared" si="11"/>
        <v>W</v>
      </c>
      <c r="L25" s="41">
        <v>21</v>
      </c>
      <c r="M25" s="29" t="str">
        <f t="shared" si="12"/>
        <v>W</v>
      </c>
      <c r="N25" s="49">
        <v>30</v>
      </c>
      <c r="O25" s="29" t="str">
        <f t="shared" si="13"/>
        <v>W</v>
      </c>
      <c r="P25" s="43">
        <v>50</v>
      </c>
      <c r="Q25" s="32" t="str">
        <f t="shared" si="23"/>
        <v>C</v>
      </c>
      <c r="R25" s="43">
        <v>33</v>
      </c>
      <c r="S25" s="32" t="str">
        <f t="shared" si="15"/>
        <v>W</v>
      </c>
      <c r="T25" s="43">
        <v>22</v>
      </c>
      <c r="U25" s="32" t="str">
        <f t="shared" si="16"/>
        <v>W</v>
      </c>
      <c r="V25" s="44"/>
      <c r="W25" s="33"/>
      <c r="X25" s="44">
        <v>77</v>
      </c>
      <c r="Y25" s="33" t="str">
        <f t="shared" si="22"/>
        <v>A</v>
      </c>
      <c r="Z25" s="44"/>
      <c r="AA25" s="33"/>
      <c r="AB25" s="99">
        <v>46</v>
      </c>
      <c r="AC25" s="106" t="str">
        <f t="shared" si="17"/>
        <v>S</v>
      </c>
      <c r="AD25" s="99">
        <v>83</v>
      </c>
      <c r="AE25" s="322" t="str">
        <f t="shared" si="18"/>
        <v>A</v>
      </c>
      <c r="AF25" s="34">
        <f t="shared" si="1"/>
        <v>507</v>
      </c>
      <c r="AG25" s="35">
        <f t="shared" si="19"/>
        <v>42.25</v>
      </c>
      <c r="AH25" s="34">
        <f t="shared" si="2"/>
        <v>7</v>
      </c>
      <c r="AI25" s="36">
        <f t="shared" si="0"/>
        <v>2</v>
      </c>
      <c r="AJ25" s="36">
        <f t="shared" si="3"/>
        <v>0</v>
      </c>
      <c r="AK25" s="36">
        <f t="shared" si="4"/>
        <v>2</v>
      </c>
      <c r="AL25" s="36">
        <f t="shared" si="5"/>
        <v>1</v>
      </c>
      <c r="AM25" s="36">
        <f t="shared" si="6"/>
        <v>7</v>
      </c>
      <c r="AN25" s="37">
        <f t="shared" si="7"/>
        <v>0</v>
      </c>
    </row>
    <row r="26" s="2" customFormat="1" ht="16.15" customHeight="1" spans="1:40">
      <c r="A26" s="39">
        <v>21</v>
      </c>
      <c r="B26" s="320" t="s">
        <v>309</v>
      </c>
      <c r="C26" s="26" t="s">
        <v>289</v>
      </c>
      <c r="D26" s="41">
        <v>48</v>
      </c>
      <c r="E26" s="28" t="str">
        <f t="shared" si="8"/>
        <v>S</v>
      </c>
      <c r="F26" s="41">
        <v>14</v>
      </c>
      <c r="G26" s="27" t="str">
        <f t="shared" si="9"/>
        <v>W</v>
      </c>
      <c r="H26" s="41">
        <v>59</v>
      </c>
      <c r="I26" s="29" t="str">
        <f t="shared" si="10"/>
        <v>C</v>
      </c>
      <c r="J26" s="41">
        <v>39</v>
      </c>
      <c r="K26" s="31" t="str">
        <f t="shared" si="11"/>
        <v>W</v>
      </c>
      <c r="L26" s="46" t="s">
        <v>29</v>
      </c>
      <c r="M26" s="46" t="s">
        <v>29</v>
      </c>
      <c r="N26" s="49">
        <v>49</v>
      </c>
      <c r="O26" s="29" t="str">
        <f t="shared" si="13"/>
        <v>S</v>
      </c>
      <c r="P26" s="43">
        <v>55</v>
      </c>
      <c r="Q26" s="32" t="str">
        <f t="shared" si="23"/>
        <v>C</v>
      </c>
      <c r="R26" s="43">
        <v>58</v>
      </c>
      <c r="S26" s="32" t="str">
        <f t="shared" si="15"/>
        <v>C</v>
      </c>
      <c r="T26" s="43">
        <v>29</v>
      </c>
      <c r="U26" s="32" t="str">
        <f t="shared" si="16"/>
        <v>W</v>
      </c>
      <c r="V26" s="44">
        <v>50</v>
      </c>
      <c r="W26" s="33" t="str">
        <f t="shared" si="20"/>
        <v>C</v>
      </c>
      <c r="X26" s="44"/>
      <c r="Y26" s="33"/>
      <c r="Z26" s="44"/>
      <c r="AA26" s="33"/>
      <c r="AB26" s="99">
        <v>60</v>
      </c>
      <c r="AC26" s="106" t="str">
        <f t="shared" si="17"/>
        <v>C</v>
      </c>
      <c r="AD26" s="99">
        <v>20</v>
      </c>
      <c r="AE26" s="322" t="str">
        <f t="shared" si="18"/>
        <v>W</v>
      </c>
      <c r="AF26" s="34">
        <f t="shared" si="1"/>
        <v>481</v>
      </c>
      <c r="AG26" s="35">
        <f t="shared" si="19"/>
        <v>40.0833333333333</v>
      </c>
      <c r="AH26" s="34">
        <f t="shared" si="2"/>
        <v>11</v>
      </c>
      <c r="AI26" s="36">
        <f t="shared" si="0"/>
        <v>0</v>
      </c>
      <c r="AJ26" s="36">
        <f t="shared" si="3"/>
        <v>0</v>
      </c>
      <c r="AK26" s="36">
        <f t="shared" si="4"/>
        <v>5</v>
      </c>
      <c r="AL26" s="36">
        <f t="shared" si="5"/>
        <v>2</v>
      </c>
      <c r="AM26" s="36">
        <f t="shared" si="6"/>
        <v>4</v>
      </c>
      <c r="AN26" s="37">
        <f t="shared" si="7"/>
        <v>1</v>
      </c>
    </row>
    <row r="27" s="2" customFormat="1" ht="16.15" customHeight="1" spans="1:40">
      <c r="A27" s="24">
        <v>22</v>
      </c>
      <c r="B27" s="320" t="s">
        <v>310</v>
      </c>
      <c r="C27" s="26" t="s">
        <v>289</v>
      </c>
      <c r="D27" s="41">
        <v>54</v>
      </c>
      <c r="E27" s="28" t="str">
        <f t="shared" si="8"/>
        <v>C</v>
      </c>
      <c r="F27" s="41">
        <v>30</v>
      </c>
      <c r="G27" s="27" t="str">
        <f t="shared" si="9"/>
        <v>W</v>
      </c>
      <c r="H27" s="41">
        <v>52</v>
      </c>
      <c r="I27" s="29" t="str">
        <f t="shared" si="10"/>
        <v>C</v>
      </c>
      <c r="J27" s="41">
        <v>57</v>
      </c>
      <c r="K27" s="31" t="str">
        <f t="shared" si="11"/>
        <v>C</v>
      </c>
      <c r="L27" s="41">
        <v>28</v>
      </c>
      <c r="M27" s="29" t="str">
        <f t="shared" si="12"/>
        <v>W</v>
      </c>
      <c r="N27" s="49">
        <v>40</v>
      </c>
      <c r="O27" s="29" t="str">
        <f t="shared" si="13"/>
        <v>S</v>
      </c>
      <c r="P27" s="43">
        <v>58</v>
      </c>
      <c r="Q27" s="32" t="str">
        <f t="shared" si="23"/>
        <v>C</v>
      </c>
      <c r="R27" s="43">
        <v>55</v>
      </c>
      <c r="S27" s="32" t="str">
        <f t="shared" si="15"/>
        <v>C</v>
      </c>
      <c r="T27" s="43">
        <v>29</v>
      </c>
      <c r="U27" s="32" t="str">
        <f t="shared" si="16"/>
        <v>W</v>
      </c>
      <c r="V27" s="44">
        <v>37</v>
      </c>
      <c r="W27" s="33" t="str">
        <f t="shared" si="20"/>
        <v>W</v>
      </c>
      <c r="X27" s="44"/>
      <c r="Y27" s="33"/>
      <c r="Z27" s="44"/>
      <c r="AA27" s="33"/>
      <c r="AB27" s="99">
        <v>66</v>
      </c>
      <c r="AC27" s="106" t="str">
        <f t="shared" si="17"/>
        <v>B</v>
      </c>
      <c r="AD27" s="99">
        <v>88</v>
      </c>
      <c r="AE27" s="322" t="str">
        <f t="shared" si="18"/>
        <v>A</v>
      </c>
      <c r="AF27" s="34">
        <f t="shared" si="1"/>
        <v>594</v>
      </c>
      <c r="AG27" s="35">
        <f t="shared" si="19"/>
        <v>49.5</v>
      </c>
      <c r="AH27" s="34">
        <f t="shared" si="2"/>
        <v>5</v>
      </c>
      <c r="AI27" s="36">
        <f t="shared" si="0"/>
        <v>1</v>
      </c>
      <c r="AJ27" s="36">
        <f t="shared" si="3"/>
        <v>1</v>
      </c>
      <c r="AK27" s="36">
        <f t="shared" si="4"/>
        <v>5</v>
      </c>
      <c r="AL27" s="36">
        <f t="shared" si="5"/>
        <v>1</v>
      </c>
      <c r="AM27" s="36">
        <f t="shared" si="6"/>
        <v>4</v>
      </c>
      <c r="AN27" s="37">
        <f t="shared" si="7"/>
        <v>0</v>
      </c>
    </row>
    <row r="28" s="2" customFormat="1" ht="16.15" customHeight="1" spans="1:40">
      <c r="A28" s="24">
        <v>23</v>
      </c>
      <c r="B28" s="320" t="s">
        <v>311</v>
      </c>
      <c r="C28" s="26" t="s">
        <v>289</v>
      </c>
      <c r="D28" s="41">
        <v>32</v>
      </c>
      <c r="E28" s="28" t="str">
        <f t="shared" si="8"/>
        <v>W</v>
      </c>
      <c r="F28" s="41">
        <v>11</v>
      </c>
      <c r="G28" s="27" t="str">
        <f t="shared" si="9"/>
        <v>W</v>
      </c>
      <c r="H28" s="41">
        <v>24</v>
      </c>
      <c r="I28" s="29" t="str">
        <f t="shared" si="10"/>
        <v>W</v>
      </c>
      <c r="J28" s="41">
        <v>34</v>
      </c>
      <c r="K28" s="31" t="str">
        <f t="shared" si="11"/>
        <v>W</v>
      </c>
      <c r="L28" s="41">
        <v>18</v>
      </c>
      <c r="M28" s="29" t="str">
        <f t="shared" si="12"/>
        <v>W</v>
      </c>
      <c r="N28" s="49">
        <v>29</v>
      </c>
      <c r="O28" s="29" t="str">
        <f t="shared" si="13"/>
        <v>W</v>
      </c>
      <c r="P28" s="43">
        <v>22</v>
      </c>
      <c r="Q28" s="32" t="str">
        <f t="shared" si="23"/>
        <v>W</v>
      </c>
      <c r="R28" s="43">
        <v>27</v>
      </c>
      <c r="S28" s="32" t="str">
        <f t="shared" si="15"/>
        <v>W</v>
      </c>
      <c r="T28" s="43">
        <v>18</v>
      </c>
      <c r="U28" s="32" t="str">
        <f t="shared" si="16"/>
        <v>W</v>
      </c>
      <c r="V28" s="44">
        <v>28</v>
      </c>
      <c r="W28" s="33" t="str">
        <f t="shared" si="20"/>
        <v>W</v>
      </c>
      <c r="X28" s="44"/>
      <c r="Y28" s="33"/>
      <c r="Z28" s="44"/>
      <c r="AA28" s="33"/>
      <c r="AB28" s="99">
        <v>30</v>
      </c>
      <c r="AC28" s="106" t="str">
        <f t="shared" si="17"/>
        <v>W</v>
      </c>
      <c r="AD28" s="99">
        <v>65</v>
      </c>
      <c r="AE28" s="322" t="str">
        <f t="shared" si="18"/>
        <v>B</v>
      </c>
      <c r="AF28" s="34">
        <f t="shared" si="1"/>
        <v>338</v>
      </c>
      <c r="AG28" s="35">
        <f t="shared" si="19"/>
        <v>28.1666666666667</v>
      </c>
      <c r="AH28" s="34">
        <f t="shared" si="2"/>
        <v>22</v>
      </c>
      <c r="AI28" s="36">
        <f t="shared" si="0"/>
        <v>0</v>
      </c>
      <c r="AJ28" s="36">
        <f t="shared" si="3"/>
        <v>1</v>
      </c>
      <c r="AK28" s="36">
        <f t="shared" si="4"/>
        <v>0</v>
      </c>
      <c r="AL28" s="36">
        <f t="shared" si="5"/>
        <v>0</v>
      </c>
      <c r="AM28" s="36">
        <f t="shared" si="6"/>
        <v>11</v>
      </c>
      <c r="AN28" s="37">
        <f t="shared" si="7"/>
        <v>0</v>
      </c>
    </row>
    <row r="29" s="2" customFormat="1" ht="16.15" customHeight="1" spans="1:40">
      <c r="A29" s="39">
        <v>24</v>
      </c>
      <c r="B29" s="320" t="s">
        <v>312</v>
      </c>
      <c r="C29" s="26" t="s">
        <v>289</v>
      </c>
      <c r="D29" s="41">
        <v>56</v>
      </c>
      <c r="E29" s="28" t="str">
        <f t="shared" si="8"/>
        <v>C</v>
      </c>
      <c r="F29" s="41">
        <v>15</v>
      </c>
      <c r="G29" s="27" t="str">
        <f t="shared" si="9"/>
        <v>W</v>
      </c>
      <c r="H29" s="41">
        <v>39</v>
      </c>
      <c r="I29" s="29" t="str">
        <f t="shared" si="10"/>
        <v>W</v>
      </c>
      <c r="J29" s="41">
        <v>15</v>
      </c>
      <c r="K29" s="31" t="str">
        <f t="shared" si="11"/>
        <v>W</v>
      </c>
      <c r="L29" s="41">
        <v>32</v>
      </c>
      <c r="M29" s="29" t="str">
        <f t="shared" si="12"/>
        <v>W</v>
      </c>
      <c r="N29" s="49">
        <v>32</v>
      </c>
      <c r="O29" s="29" t="str">
        <f t="shared" si="13"/>
        <v>W</v>
      </c>
      <c r="P29" s="43">
        <v>48</v>
      </c>
      <c r="Q29" s="32" t="str">
        <f t="shared" si="23"/>
        <v>W</v>
      </c>
      <c r="R29" s="43">
        <v>39</v>
      </c>
      <c r="S29" s="32" t="str">
        <f t="shared" si="15"/>
        <v>W</v>
      </c>
      <c r="T29" s="43">
        <v>23</v>
      </c>
      <c r="U29" s="32" t="str">
        <f t="shared" si="16"/>
        <v>W</v>
      </c>
      <c r="V29" s="44">
        <v>56</v>
      </c>
      <c r="W29" s="33" t="str">
        <f t="shared" si="20"/>
        <v>C</v>
      </c>
      <c r="X29" s="44"/>
      <c r="Y29" s="33"/>
      <c r="Z29" s="44"/>
      <c r="AA29" s="33"/>
      <c r="AB29" s="99">
        <v>60</v>
      </c>
      <c r="AC29" s="106" t="str">
        <f t="shared" si="17"/>
        <v>C</v>
      </c>
      <c r="AD29" s="99">
        <v>80</v>
      </c>
      <c r="AE29" s="322" t="str">
        <f t="shared" si="18"/>
        <v>A</v>
      </c>
      <c r="AF29" s="34">
        <f t="shared" si="1"/>
        <v>495</v>
      </c>
      <c r="AG29" s="35">
        <f t="shared" si="19"/>
        <v>41.25</v>
      </c>
      <c r="AH29" s="34">
        <f t="shared" si="2"/>
        <v>9</v>
      </c>
      <c r="AI29" s="36">
        <f t="shared" si="0"/>
        <v>1</v>
      </c>
      <c r="AJ29" s="36">
        <f t="shared" si="3"/>
        <v>0</v>
      </c>
      <c r="AK29" s="36">
        <f t="shared" si="4"/>
        <v>3</v>
      </c>
      <c r="AL29" s="36">
        <f t="shared" si="5"/>
        <v>0</v>
      </c>
      <c r="AM29" s="36">
        <f t="shared" si="6"/>
        <v>8</v>
      </c>
      <c r="AN29" s="37">
        <f t="shared" si="7"/>
        <v>0</v>
      </c>
    </row>
    <row r="30" s="2" customFormat="1" ht="16.15" customHeight="1" spans="1:40">
      <c r="A30" s="24">
        <v>25</v>
      </c>
      <c r="B30" s="320" t="s">
        <v>313</v>
      </c>
      <c r="C30" s="26" t="s">
        <v>289</v>
      </c>
      <c r="D30" s="41">
        <v>28</v>
      </c>
      <c r="E30" s="28" t="str">
        <f t="shared" si="8"/>
        <v>W</v>
      </c>
      <c r="F30" s="41">
        <v>15</v>
      </c>
      <c r="G30" s="27" t="str">
        <f t="shared" si="9"/>
        <v>W</v>
      </c>
      <c r="H30" s="41">
        <v>21</v>
      </c>
      <c r="I30" s="29" t="str">
        <f t="shared" si="10"/>
        <v>W</v>
      </c>
      <c r="J30" s="41">
        <v>9</v>
      </c>
      <c r="K30" s="31" t="str">
        <f t="shared" si="11"/>
        <v>W</v>
      </c>
      <c r="L30" s="41">
        <v>15</v>
      </c>
      <c r="M30" s="29" t="str">
        <f t="shared" si="12"/>
        <v>W</v>
      </c>
      <c r="N30" s="49">
        <v>14</v>
      </c>
      <c r="O30" s="29" t="str">
        <f t="shared" si="13"/>
        <v>W</v>
      </c>
      <c r="P30" s="43">
        <v>14</v>
      </c>
      <c r="Q30" s="32" t="str">
        <f t="shared" si="23"/>
        <v>W</v>
      </c>
      <c r="R30" s="43">
        <v>23</v>
      </c>
      <c r="S30" s="32" t="str">
        <f t="shared" si="15"/>
        <v>W</v>
      </c>
      <c r="T30" s="43">
        <v>3</v>
      </c>
      <c r="U30" s="32" t="str">
        <f t="shared" si="16"/>
        <v>W</v>
      </c>
      <c r="V30" s="44">
        <v>18</v>
      </c>
      <c r="W30" s="33" t="str">
        <f t="shared" si="20"/>
        <v>W</v>
      </c>
      <c r="X30" s="44"/>
      <c r="Y30" s="33"/>
      <c r="Z30" s="44"/>
      <c r="AA30" s="33"/>
      <c r="AB30" s="99">
        <v>35</v>
      </c>
      <c r="AC30" s="106" t="str">
        <f t="shared" si="17"/>
        <v>W</v>
      </c>
      <c r="AD30" s="99">
        <v>60</v>
      </c>
      <c r="AE30" s="322" t="str">
        <f t="shared" si="18"/>
        <v>C</v>
      </c>
      <c r="AF30" s="34">
        <f t="shared" si="1"/>
        <v>255</v>
      </c>
      <c r="AG30" s="35">
        <f t="shared" si="19"/>
        <v>21.25</v>
      </c>
      <c r="AH30" s="34">
        <f t="shared" si="2"/>
        <v>28</v>
      </c>
      <c r="AI30" s="36">
        <f t="shared" si="0"/>
        <v>0</v>
      </c>
      <c r="AJ30" s="36">
        <f t="shared" si="3"/>
        <v>0</v>
      </c>
      <c r="AK30" s="36">
        <f t="shared" si="4"/>
        <v>1</v>
      </c>
      <c r="AL30" s="36">
        <f t="shared" si="5"/>
        <v>0</v>
      </c>
      <c r="AM30" s="36">
        <f t="shared" si="6"/>
        <v>11</v>
      </c>
      <c r="AN30" s="37">
        <f t="shared" si="7"/>
        <v>0</v>
      </c>
    </row>
    <row r="31" s="2" customFormat="1" ht="16.15" customHeight="1" spans="1:40">
      <c r="A31" s="24">
        <v>26</v>
      </c>
      <c r="B31" s="320" t="s">
        <v>314</v>
      </c>
      <c r="C31" s="26" t="s">
        <v>289</v>
      </c>
      <c r="D31" s="41">
        <v>70</v>
      </c>
      <c r="E31" s="28" t="str">
        <f t="shared" si="8"/>
        <v>B</v>
      </c>
      <c r="F31" s="41">
        <v>21</v>
      </c>
      <c r="G31" s="27" t="str">
        <f t="shared" si="9"/>
        <v>W</v>
      </c>
      <c r="H31" s="41">
        <v>41</v>
      </c>
      <c r="I31" s="29" t="str">
        <f t="shared" si="10"/>
        <v>S</v>
      </c>
      <c r="J31" s="41">
        <v>24</v>
      </c>
      <c r="K31" s="31" t="str">
        <f t="shared" si="11"/>
        <v>W</v>
      </c>
      <c r="L31" s="41">
        <v>29</v>
      </c>
      <c r="M31" s="29" t="str">
        <f t="shared" si="12"/>
        <v>W</v>
      </c>
      <c r="N31" s="49">
        <v>28</v>
      </c>
      <c r="O31" s="29" t="str">
        <f t="shared" si="13"/>
        <v>W</v>
      </c>
      <c r="P31" s="43">
        <v>41</v>
      </c>
      <c r="Q31" s="32" t="str">
        <f t="shared" si="23"/>
        <v>W</v>
      </c>
      <c r="R31" s="42" t="s">
        <v>29</v>
      </c>
      <c r="S31" s="42" t="s">
        <v>29</v>
      </c>
      <c r="T31" s="43">
        <v>34</v>
      </c>
      <c r="U31" s="32" t="str">
        <f t="shared" si="16"/>
        <v>W</v>
      </c>
      <c r="V31" s="44"/>
      <c r="W31" s="33"/>
      <c r="X31" s="44">
        <v>64</v>
      </c>
      <c r="Y31" s="33" t="str">
        <f t="shared" si="22"/>
        <v>C</v>
      </c>
      <c r="Z31" s="44"/>
      <c r="AA31" s="33"/>
      <c r="AB31" s="304" t="s">
        <v>29</v>
      </c>
      <c r="AC31" s="304" t="s">
        <v>29</v>
      </c>
      <c r="AD31" s="99">
        <v>55</v>
      </c>
      <c r="AE31" s="322" t="str">
        <f t="shared" si="18"/>
        <v>C</v>
      </c>
      <c r="AF31" s="34">
        <f t="shared" si="1"/>
        <v>407</v>
      </c>
      <c r="AG31" s="35">
        <f t="shared" si="19"/>
        <v>33.9166666666667</v>
      </c>
      <c r="AH31" s="34">
        <f t="shared" si="2"/>
        <v>16.5</v>
      </c>
      <c r="AI31" s="36">
        <f t="shared" si="0"/>
        <v>0</v>
      </c>
      <c r="AJ31" s="36">
        <f t="shared" si="3"/>
        <v>1</v>
      </c>
      <c r="AK31" s="36">
        <f t="shared" si="4"/>
        <v>2</v>
      </c>
      <c r="AL31" s="36">
        <f t="shared" si="5"/>
        <v>1</v>
      </c>
      <c r="AM31" s="36">
        <f t="shared" si="6"/>
        <v>6</v>
      </c>
      <c r="AN31" s="37">
        <f t="shared" si="7"/>
        <v>2</v>
      </c>
    </row>
    <row r="32" s="2" customFormat="1" ht="16.15" customHeight="1" spans="1:40">
      <c r="A32" s="39">
        <v>27</v>
      </c>
      <c r="B32" s="320" t="s">
        <v>315</v>
      </c>
      <c r="C32" s="26" t="s">
        <v>289</v>
      </c>
      <c r="D32" s="41">
        <v>41</v>
      </c>
      <c r="E32" s="28" t="str">
        <f t="shared" si="8"/>
        <v>S</v>
      </c>
      <c r="F32" s="41">
        <v>15</v>
      </c>
      <c r="G32" s="27" t="str">
        <f t="shared" si="9"/>
        <v>W</v>
      </c>
      <c r="H32" s="41">
        <v>28</v>
      </c>
      <c r="I32" s="29" t="str">
        <f t="shared" si="10"/>
        <v>W</v>
      </c>
      <c r="J32" s="41">
        <v>19</v>
      </c>
      <c r="K32" s="31" t="str">
        <f t="shared" si="11"/>
        <v>W</v>
      </c>
      <c r="L32" s="41">
        <v>25</v>
      </c>
      <c r="M32" s="29" t="str">
        <f t="shared" si="12"/>
        <v>W</v>
      </c>
      <c r="N32" s="49">
        <v>25</v>
      </c>
      <c r="O32" s="29" t="str">
        <f t="shared" si="13"/>
        <v>W</v>
      </c>
      <c r="P32" s="43">
        <v>28</v>
      </c>
      <c r="Q32" s="32" t="str">
        <f t="shared" si="23"/>
        <v>W</v>
      </c>
      <c r="R32" s="43">
        <v>37</v>
      </c>
      <c r="S32" s="32" t="str">
        <f t="shared" si="15"/>
        <v>W</v>
      </c>
      <c r="T32" s="43">
        <v>22</v>
      </c>
      <c r="U32" s="32" t="str">
        <f t="shared" si="16"/>
        <v>W</v>
      </c>
      <c r="V32" s="44"/>
      <c r="W32" s="33"/>
      <c r="X32" s="44">
        <v>55</v>
      </c>
      <c r="Y32" s="33" t="str">
        <f t="shared" si="22"/>
        <v>C</v>
      </c>
      <c r="Z32" s="44"/>
      <c r="AA32" s="33"/>
      <c r="AB32" s="99">
        <v>46</v>
      </c>
      <c r="AC32" s="106" t="str">
        <f t="shared" si="17"/>
        <v>S</v>
      </c>
      <c r="AD32" s="99">
        <v>76</v>
      </c>
      <c r="AE32" s="322" t="str">
        <f t="shared" si="18"/>
        <v>A</v>
      </c>
      <c r="AF32" s="34">
        <f t="shared" si="1"/>
        <v>417</v>
      </c>
      <c r="AG32" s="35">
        <f t="shared" si="19"/>
        <v>34.75</v>
      </c>
      <c r="AH32" s="34">
        <f t="shared" si="2"/>
        <v>14</v>
      </c>
      <c r="AI32" s="36">
        <f t="shared" si="0"/>
        <v>1</v>
      </c>
      <c r="AJ32" s="36">
        <f t="shared" si="3"/>
        <v>0</v>
      </c>
      <c r="AK32" s="36">
        <f t="shared" si="4"/>
        <v>1</v>
      </c>
      <c r="AL32" s="36">
        <f t="shared" si="5"/>
        <v>2</v>
      </c>
      <c r="AM32" s="36">
        <f t="shared" si="6"/>
        <v>8</v>
      </c>
      <c r="AN32" s="37">
        <f t="shared" si="7"/>
        <v>0</v>
      </c>
    </row>
    <row r="33" s="2" customFormat="1" ht="16.15" customHeight="1" spans="1:40">
      <c r="A33" s="24">
        <v>28</v>
      </c>
      <c r="B33" s="320" t="s">
        <v>316</v>
      </c>
      <c r="C33" s="26" t="s">
        <v>289</v>
      </c>
      <c r="D33" s="41">
        <v>54</v>
      </c>
      <c r="E33" s="28" t="str">
        <f t="shared" ref="E33:E34" si="24">IF(D33&gt;=75,"A",IF(D33&gt;=65,"B",IF(D33&gt;=50,"C",IF(D33&gt;=40,"S","W"))))</f>
        <v>C</v>
      </c>
      <c r="F33" s="41">
        <v>10</v>
      </c>
      <c r="G33" s="27" t="str">
        <f t="shared" si="9"/>
        <v>W</v>
      </c>
      <c r="H33" s="41">
        <v>31</v>
      </c>
      <c r="I33" s="29" t="str">
        <f t="shared" si="10"/>
        <v>W</v>
      </c>
      <c r="J33" s="41">
        <v>10</v>
      </c>
      <c r="K33" s="31" t="str">
        <f t="shared" si="11"/>
        <v>W</v>
      </c>
      <c r="L33" s="41">
        <v>20</v>
      </c>
      <c r="M33" s="29" t="str">
        <f t="shared" si="12"/>
        <v>W</v>
      </c>
      <c r="N33" s="49">
        <v>35</v>
      </c>
      <c r="O33" s="29" t="str">
        <f t="shared" si="13"/>
        <v>W</v>
      </c>
      <c r="P33" s="43">
        <v>45</v>
      </c>
      <c r="Q33" s="32" t="str">
        <f t="shared" si="23"/>
        <v>W</v>
      </c>
      <c r="R33" s="43">
        <v>15</v>
      </c>
      <c r="S33" s="32" t="str">
        <f t="shared" si="15"/>
        <v>W</v>
      </c>
      <c r="T33" s="43">
        <v>17</v>
      </c>
      <c r="U33" s="32" t="str">
        <f t="shared" si="16"/>
        <v>W</v>
      </c>
      <c r="V33" s="44">
        <v>15</v>
      </c>
      <c r="W33" s="33" t="str">
        <f>IF(V33&gt;=75,"A",IF(V33&gt;=65,"B",IF(V33&gt;=50,"C",IF(V33&gt;=40,"S","W"))))</f>
        <v>W</v>
      </c>
      <c r="X33" s="44"/>
      <c r="Y33" s="33"/>
      <c r="Z33" s="44"/>
      <c r="AA33" s="33"/>
      <c r="AB33" s="99">
        <v>49</v>
      </c>
      <c r="AC33" s="106" t="str">
        <f t="shared" si="17"/>
        <v>S</v>
      </c>
      <c r="AD33" s="99">
        <v>80</v>
      </c>
      <c r="AE33" s="322" t="str">
        <f t="shared" si="18"/>
        <v>A</v>
      </c>
      <c r="AF33" s="34">
        <f t="shared" si="1"/>
        <v>381</v>
      </c>
      <c r="AG33" s="35">
        <f t="shared" si="19"/>
        <v>31.75</v>
      </c>
      <c r="AH33" s="34">
        <f t="shared" si="2"/>
        <v>19</v>
      </c>
      <c r="AI33" s="36">
        <f t="shared" si="0"/>
        <v>1</v>
      </c>
      <c r="AJ33" s="36">
        <f t="shared" si="3"/>
        <v>0</v>
      </c>
      <c r="AK33" s="36">
        <f t="shared" si="4"/>
        <v>1</v>
      </c>
      <c r="AL33" s="36">
        <f t="shared" si="5"/>
        <v>1</v>
      </c>
      <c r="AM33" s="36">
        <f t="shared" si="6"/>
        <v>9</v>
      </c>
      <c r="AN33" s="37">
        <f t="shared" si="7"/>
        <v>0</v>
      </c>
    </row>
    <row r="34" s="2" customFormat="1" ht="16.15" customHeight="1" spans="1:40">
      <c r="A34" s="24">
        <v>29</v>
      </c>
      <c r="B34" s="320" t="s">
        <v>317</v>
      </c>
      <c r="C34" s="26" t="s">
        <v>289</v>
      </c>
      <c r="D34" s="41">
        <v>44</v>
      </c>
      <c r="E34" s="28" t="str">
        <f t="shared" si="24"/>
        <v>S</v>
      </c>
      <c r="F34" s="41">
        <v>29</v>
      </c>
      <c r="G34" s="27" t="str">
        <f t="shared" si="9"/>
        <v>W</v>
      </c>
      <c r="H34" s="41">
        <v>29</v>
      </c>
      <c r="I34" s="29" t="str">
        <f t="shared" si="10"/>
        <v>W</v>
      </c>
      <c r="J34" s="41">
        <v>36</v>
      </c>
      <c r="K34" s="31" t="str">
        <f t="shared" si="11"/>
        <v>W</v>
      </c>
      <c r="L34" s="41">
        <v>28</v>
      </c>
      <c r="M34" s="29" t="str">
        <f t="shared" si="12"/>
        <v>W</v>
      </c>
      <c r="N34" s="41">
        <v>37</v>
      </c>
      <c r="O34" s="29" t="str">
        <f t="shared" si="13"/>
        <v>W</v>
      </c>
      <c r="P34" s="43">
        <v>55</v>
      </c>
      <c r="Q34" s="32" t="str">
        <f t="shared" si="23"/>
        <v>C</v>
      </c>
      <c r="R34" s="43">
        <v>37</v>
      </c>
      <c r="S34" s="32" t="str">
        <f t="shared" si="15"/>
        <v>W</v>
      </c>
      <c r="T34" s="43">
        <v>20</v>
      </c>
      <c r="U34" s="32" t="str">
        <f t="shared" si="16"/>
        <v>W</v>
      </c>
      <c r="V34" s="44">
        <v>51</v>
      </c>
      <c r="W34" s="33" t="str">
        <f>IF(V34&gt;=75,"A",IF(V34&gt;=65,"B",IF(V34&gt;=50,"C",IF(V34&gt;=40,"S","W"))))</f>
        <v>C</v>
      </c>
      <c r="X34" s="44"/>
      <c r="Y34" s="33"/>
      <c r="Z34" s="44"/>
      <c r="AA34" s="33"/>
      <c r="AB34" s="99">
        <v>41</v>
      </c>
      <c r="AC34" s="106" t="str">
        <f t="shared" si="17"/>
        <v>S</v>
      </c>
      <c r="AD34" s="99">
        <v>80</v>
      </c>
      <c r="AE34" s="322" t="str">
        <f t="shared" si="18"/>
        <v>A</v>
      </c>
      <c r="AF34" s="34">
        <f t="shared" si="1"/>
        <v>487</v>
      </c>
      <c r="AG34" s="35">
        <f t="shared" si="19"/>
        <v>40.5833333333333</v>
      </c>
      <c r="AH34" s="34">
        <f t="shared" si="2"/>
        <v>10</v>
      </c>
      <c r="AI34" s="36">
        <f t="shared" si="0"/>
        <v>1</v>
      </c>
      <c r="AJ34" s="36">
        <f t="shared" si="3"/>
        <v>0</v>
      </c>
      <c r="AK34" s="36">
        <f t="shared" si="4"/>
        <v>2</v>
      </c>
      <c r="AL34" s="36">
        <f t="shared" si="5"/>
        <v>2</v>
      </c>
      <c r="AM34" s="36">
        <f t="shared" si="6"/>
        <v>7</v>
      </c>
      <c r="AN34" s="37">
        <f t="shared" si="7"/>
        <v>0</v>
      </c>
    </row>
    <row r="35" s="2" customFormat="1" ht="16.15" customHeight="1" spans="1:40">
      <c r="A35" s="53" t="s">
        <v>62</v>
      </c>
      <c r="B35" s="54"/>
      <c r="C35" s="55"/>
      <c r="D35" s="56"/>
      <c r="E35" s="57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 t="s">
        <v>318</v>
      </c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8"/>
      <c r="AG35" s="58"/>
      <c r="AH35" s="58"/>
      <c r="AI35"/>
      <c r="AJ35"/>
      <c r="AK35"/>
      <c r="AL35"/>
      <c r="AM35" s="59"/>
      <c r="AN35" s="60"/>
    </row>
    <row r="36" s="2" customFormat="1" ht="16.15" customHeight="1" spans="1:40">
      <c r="A36" s="53" t="s">
        <v>63</v>
      </c>
      <c r="B36" s="54"/>
      <c r="C36" s="61" t="s">
        <v>24</v>
      </c>
      <c r="D36" s="56"/>
      <c r="E36" s="62">
        <f>COUNTIF(E6:E34,"A")</f>
        <v>1</v>
      </c>
      <c r="F36" s="56"/>
      <c r="G36" s="63">
        <f>COUNTIF(G6:G34,"A")</f>
        <v>0</v>
      </c>
      <c r="H36" s="56"/>
      <c r="I36" s="63">
        <f>COUNTIF(I6:I34,"A")</f>
        <v>1</v>
      </c>
      <c r="J36" s="56"/>
      <c r="K36" s="63">
        <f>COUNTIF(K6:K34,"A")</f>
        <v>1</v>
      </c>
      <c r="L36" s="63"/>
      <c r="M36" s="63">
        <f>COUNTIF(M6:M34,"A")</f>
        <v>0</v>
      </c>
      <c r="N36" s="63"/>
      <c r="O36" s="63">
        <f>COUNTIF(O6:O34,"A")</f>
        <v>2</v>
      </c>
      <c r="P36" s="63"/>
      <c r="Q36" s="63">
        <f>COUNTIF(Q6:Q34,"A")</f>
        <v>2</v>
      </c>
      <c r="R36" s="56"/>
      <c r="S36" s="63">
        <f>COUNTIF(S6:S34,"A")</f>
        <v>1</v>
      </c>
      <c r="T36" s="56"/>
      <c r="U36" s="63">
        <f>COUNTIF(U6:U34,"A")</f>
        <v>1</v>
      </c>
      <c r="V36" s="56"/>
      <c r="W36" s="63">
        <f>COUNTIF(W6:W34,"A")</f>
        <v>0</v>
      </c>
      <c r="X36" s="56"/>
      <c r="Y36" s="63">
        <f>COUNTIF(Y6:Y34,"A")</f>
        <v>4</v>
      </c>
      <c r="Z36" s="56"/>
      <c r="AA36" s="63">
        <f>COUNTIF(AA6:AA34,"A")</f>
        <v>0</v>
      </c>
      <c r="AB36" s="56"/>
      <c r="AC36" s="63">
        <f>COUNTIF(AC6:AC34,"A")</f>
        <v>3</v>
      </c>
      <c r="AD36" s="56"/>
      <c r="AE36" s="63">
        <f>COUNTIF(AE6:AE34,"A")</f>
        <v>12</v>
      </c>
      <c r="AF36" s="64"/>
      <c r="AG36" s="64"/>
      <c r="AH36" s="64"/>
      <c r="AI36"/>
      <c r="AJ36"/>
      <c r="AK36"/>
      <c r="AL36"/>
      <c r="AM36" s="59"/>
      <c r="AN36" s="60"/>
    </row>
    <row r="37" ht="11.65" customHeight="1" spans="1:40">
      <c r="A37" s="53" t="s">
        <v>64</v>
      </c>
      <c r="B37" s="54"/>
      <c r="C37" s="55" t="s">
        <v>25</v>
      </c>
      <c r="D37" s="56"/>
      <c r="E37" s="62">
        <f>COUNTIF(E6:E34,"B")</f>
        <v>2</v>
      </c>
      <c r="F37" s="56"/>
      <c r="G37" s="63">
        <f>COUNTIF(G6:G34,"B")</f>
        <v>0</v>
      </c>
      <c r="H37" s="56"/>
      <c r="I37" s="63">
        <f>COUNTIF(I6:I34,"B")</f>
        <v>4</v>
      </c>
      <c r="J37" s="56"/>
      <c r="K37" s="63">
        <f>COUNTIF(K6:K34,"B")</f>
        <v>1</v>
      </c>
      <c r="L37" s="56"/>
      <c r="M37" s="63">
        <f>COUNTIF(M6:M34,"B")</f>
        <v>1</v>
      </c>
      <c r="N37" s="56"/>
      <c r="O37" s="63">
        <f>COUNTIF(O6:O34,"B")</f>
        <v>1</v>
      </c>
      <c r="P37" s="56"/>
      <c r="Q37" s="63">
        <f>COUNTIF(Q6:Q34,"B")</f>
        <v>0</v>
      </c>
      <c r="R37" s="56"/>
      <c r="S37" s="63">
        <f>COUNTIF(S6:S34,"B")</f>
        <v>2</v>
      </c>
      <c r="T37" s="56"/>
      <c r="U37" s="63">
        <f>COUNTIF(U6:U34,"B")</f>
        <v>1</v>
      </c>
      <c r="V37" s="56"/>
      <c r="W37" s="63">
        <f>COUNTIF(W6:W34,"B")</f>
        <v>0</v>
      </c>
      <c r="X37" s="56"/>
      <c r="Y37" s="63">
        <f>COUNTIF(Y6:Y34,"B")</f>
        <v>2</v>
      </c>
      <c r="Z37" s="56"/>
      <c r="AA37" s="63">
        <f>COUNTIF(AA6:AA34,"B")</f>
        <v>0</v>
      </c>
      <c r="AB37" s="56"/>
      <c r="AC37" s="63">
        <f>COUNTIF(AC6:AC34,"B")</f>
        <v>2</v>
      </c>
      <c r="AD37" s="56"/>
      <c r="AE37" s="63">
        <f>COUNTIF(AE6:AE34,"B")</f>
        <v>7</v>
      </c>
      <c r="AF37" s="64"/>
      <c r="AG37" s="64"/>
      <c r="AH37" s="64"/>
    </row>
    <row r="38" ht="11.65" customHeight="1" spans="1:40">
      <c r="A38" s="53" t="s">
        <v>65</v>
      </c>
      <c r="B38" s="54"/>
      <c r="C38" s="55" t="s">
        <v>26</v>
      </c>
      <c r="D38" s="56"/>
      <c r="E38" s="62">
        <f>COUNTIF(E6:E34,"C")</f>
        <v>6</v>
      </c>
      <c r="F38" s="56"/>
      <c r="G38" s="63">
        <f>COUNTIF(G6:G34,"C")</f>
        <v>2</v>
      </c>
      <c r="H38" s="56"/>
      <c r="I38" s="63">
        <f>COUNTIF(I6:I34,"C")</f>
        <v>4</v>
      </c>
      <c r="J38" s="56"/>
      <c r="K38" s="63">
        <f>COUNTIF(K6:K34,"C")</f>
        <v>2</v>
      </c>
      <c r="L38" s="56"/>
      <c r="M38" s="63">
        <f>COUNTIF(M6:M34,"C")</f>
        <v>0</v>
      </c>
      <c r="N38" s="56"/>
      <c r="O38" s="63">
        <f>COUNTIF(O6:O34,"C")</f>
        <v>2</v>
      </c>
      <c r="P38" s="56"/>
      <c r="Q38" s="63">
        <f>COUNTIF(Q6:Q34,"C")</f>
        <v>8</v>
      </c>
      <c r="R38" s="56"/>
      <c r="S38" s="63">
        <f>COUNTIF(S6:S34,"C")</f>
        <v>2</v>
      </c>
      <c r="T38" s="56"/>
      <c r="U38" s="63">
        <f>COUNTIF(U6:U34,"C")</f>
        <v>1</v>
      </c>
      <c r="V38" s="56"/>
      <c r="W38" s="63">
        <f>COUNTIF(W6:W34,"C")</f>
        <v>3</v>
      </c>
      <c r="X38" s="56"/>
      <c r="Y38" s="63">
        <f>COUNTIF(Y6:Y34,"C")</f>
        <v>3</v>
      </c>
      <c r="Z38" s="56"/>
      <c r="AA38" s="63">
        <f>COUNTIF(AA6:AA34,"C")</f>
        <v>2</v>
      </c>
      <c r="AB38" s="56"/>
      <c r="AC38" s="63">
        <f>COUNTIF(AC6:AC34,"C")</f>
        <v>5</v>
      </c>
      <c r="AD38" s="56"/>
      <c r="AE38" s="63">
        <f>COUNTIF(AE6:AE34,"C")</f>
        <v>4</v>
      </c>
      <c r="AF38" s="64"/>
      <c r="AG38" s="64"/>
      <c r="AH38" s="64"/>
    </row>
    <row r="39" ht="11.65" customHeight="1" spans="1:40">
      <c r="A39" s="53" t="s">
        <v>66</v>
      </c>
      <c r="B39" s="54"/>
      <c r="C39" s="55" t="s">
        <v>27</v>
      </c>
      <c r="D39" s="56"/>
      <c r="E39" s="62">
        <f>COUNTIF(E6:E34,"S")</f>
        <v>6</v>
      </c>
      <c r="F39" s="56"/>
      <c r="G39" s="63">
        <f>COUNTIF(G6:G34,"S")</f>
        <v>1</v>
      </c>
      <c r="H39" s="56"/>
      <c r="I39" s="63">
        <f>COUNTIF(I6:I34,"S")</f>
        <v>6</v>
      </c>
      <c r="J39" s="56"/>
      <c r="K39" s="63">
        <f>COUNTIF(K6:K34,"S")</f>
        <v>2</v>
      </c>
      <c r="L39" s="56"/>
      <c r="M39" s="63">
        <f>COUNTIF(M6:M34,"S")</f>
        <v>2</v>
      </c>
      <c r="N39" s="56"/>
      <c r="O39" s="63">
        <f>COUNTIF(O6:O34,"S")</f>
        <v>2</v>
      </c>
      <c r="P39" s="56"/>
      <c r="Q39" s="63">
        <f>COUNTIF(Q6:Q34,"S")</f>
        <v>0</v>
      </c>
      <c r="R39" s="56"/>
      <c r="S39" s="63">
        <f>COUNTIF(S6:S34,"S")</f>
        <v>2</v>
      </c>
      <c r="T39" s="56"/>
      <c r="U39" s="63">
        <f>COUNTIF(U6:U34,"S")</f>
        <v>0</v>
      </c>
      <c r="V39" s="56"/>
      <c r="W39" s="63">
        <f>COUNTIF(W6:W34,"S")</f>
        <v>0</v>
      </c>
      <c r="X39" s="56"/>
      <c r="Y39" s="63">
        <f>COUNTIF(Y6:Y34,"S")</f>
        <v>0</v>
      </c>
      <c r="Z39" s="56"/>
      <c r="AA39" s="63">
        <f>COUNTIF(AA6:AA34,"S")</f>
        <v>0</v>
      </c>
      <c r="AB39" s="56"/>
      <c r="AC39" s="63">
        <f>COUNTIF(AC6:AC34,"S")</f>
        <v>9</v>
      </c>
      <c r="AD39" s="56"/>
      <c r="AE39" s="63">
        <f>COUNTIF(AE6:AE34,"S")</f>
        <v>0</v>
      </c>
      <c r="AF39" s="64"/>
      <c r="AG39" s="64"/>
      <c r="AH39" s="64"/>
    </row>
    <row r="40" ht="11.65" customHeight="1" spans="1:40">
      <c r="A40" s="53" t="s">
        <v>67</v>
      </c>
      <c r="B40" s="54"/>
      <c r="C40" s="55" t="s">
        <v>28</v>
      </c>
      <c r="D40" s="56"/>
      <c r="E40" s="62">
        <f>COUNTIF(E6:E34,"W")</f>
        <v>13</v>
      </c>
      <c r="F40" s="56"/>
      <c r="G40" s="63">
        <f>COUNTIF(G6:G34,"W")</f>
        <v>24</v>
      </c>
      <c r="H40" s="56"/>
      <c r="I40" s="63">
        <f>COUNTIF(I6:I34,"W")</f>
        <v>12</v>
      </c>
      <c r="J40" s="56"/>
      <c r="K40" s="63">
        <f>COUNTIF(K6:K34,"W")</f>
        <v>21</v>
      </c>
      <c r="L40" s="56"/>
      <c r="M40" s="63">
        <f>COUNTIF(M6:M34,"W")</f>
        <v>24</v>
      </c>
      <c r="N40" s="56"/>
      <c r="O40" s="63">
        <f>COUNTIF(O6:O34,"W")</f>
        <v>21</v>
      </c>
      <c r="P40" s="56"/>
      <c r="Q40" s="63">
        <f>COUNTIF(Q6:Q34,"W")</f>
        <v>18</v>
      </c>
      <c r="R40" s="56"/>
      <c r="S40" s="63">
        <f>COUNTIF(S6:S34,"W")</f>
        <v>20</v>
      </c>
      <c r="T40" s="56"/>
      <c r="U40" s="63">
        <f>COUNTIF(U6:U34,"W")</f>
        <v>24</v>
      </c>
      <c r="V40" s="56"/>
      <c r="W40" s="63">
        <f>COUNTIF(W6:W34,"W")</f>
        <v>9</v>
      </c>
      <c r="X40" s="56"/>
      <c r="Y40" s="63">
        <f>COUNTIF(Y6:Y34,"W")</f>
        <v>0</v>
      </c>
      <c r="Z40" s="56"/>
      <c r="AA40" s="63">
        <f>COUNTIF(AA6:AA34,"W")</f>
        <v>5</v>
      </c>
      <c r="AB40" s="56"/>
      <c r="AC40" s="63">
        <f>COUNTIF(AC6:AC34,"W")</f>
        <v>8</v>
      </c>
      <c r="AD40" s="56"/>
      <c r="AE40" s="63">
        <f>COUNTIF(AE6:AE34,"W")</f>
        <v>5</v>
      </c>
      <c r="AF40" s="64"/>
      <c r="AG40" s="64"/>
      <c r="AH40" s="64"/>
    </row>
    <row r="41" ht="11.65" customHeight="1" spans="1:40">
      <c r="A41" s="53"/>
      <c r="B41" s="54"/>
      <c r="C41" s="55" t="s">
        <v>29</v>
      </c>
      <c r="D41" s="56"/>
      <c r="E41" s="62">
        <f>COUNTIF(E6:E34,"AB")</f>
        <v>1</v>
      </c>
      <c r="F41" s="56"/>
      <c r="G41" s="63">
        <f>COUNTIF(G6:G34,"AB")</f>
        <v>2</v>
      </c>
      <c r="H41" s="56"/>
      <c r="I41" s="63">
        <f>COUNTIF(I6:I34,"AB")</f>
        <v>2</v>
      </c>
      <c r="J41" s="56"/>
      <c r="K41" s="63">
        <f>COUNTIF(K6:K34,"AB")</f>
        <v>2</v>
      </c>
      <c r="L41" s="56"/>
      <c r="M41" s="63">
        <f>COUNTIF(M6:M34,"AB")</f>
        <v>2</v>
      </c>
      <c r="N41" s="56"/>
      <c r="O41" s="63">
        <f>COUNTIF(O6:O34,"AB")</f>
        <v>1</v>
      </c>
      <c r="P41" s="56"/>
      <c r="Q41" s="63">
        <f>COUNTIF(Q6:Q34,"AB")</f>
        <v>1</v>
      </c>
      <c r="R41" s="56"/>
      <c r="S41" s="63">
        <f>COUNTIF(S6:S34,"AB")</f>
        <v>2</v>
      </c>
      <c r="T41" s="56"/>
      <c r="U41" s="63">
        <f>COUNTIF(U6:U34,"AB")</f>
        <v>2</v>
      </c>
      <c r="V41" s="56"/>
      <c r="W41" s="63">
        <f>COUNTIF(W6:W34,"AB")</f>
        <v>1</v>
      </c>
      <c r="X41" s="56"/>
      <c r="Y41" s="63">
        <f>COUNTIF(Y6:Y34,"AB")</f>
        <v>1</v>
      </c>
      <c r="Z41" s="56"/>
      <c r="AA41" s="63">
        <f>COUNTIF(AA6:AA34,"AB")</f>
        <v>1</v>
      </c>
      <c r="AB41" s="56"/>
      <c r="AC41" s="63">
        <f>COUNTIF(AC6:AC34,"AB")</f>
        <v>2</v>
      </c>
      <c r="AD41" s="56"/>
      <c r="AE41" s="63">
        <f>COUNTIF(AE6:AE34,"AB")</f>
        <v>1</v>
      </c>
      <c r="AF41" s="64"/>
      <c r="AG41" s="64"/>
      <c r="AH41" s="64"/>
    </row>
    <row r="42" ht="11.65" customHeight="1" spans="1:40">
      <c r="A42" s="53" t="s">
        <v>7</v>
      </c>
      <c r="B42" s="54"/>
      <c r="C42" s="55"/>
      <c r="D42" s="56"/>
      <c r="E42" s="54">
        <f>SUM(E36:E41)</f>
        <v>29</v>
      </c>
      <c r="F42" s="56"/>
      <c r="G42" s="156">
        <f>SUM(G36:G41)</f>
        <v>29</v>
      </c>
      <c r="H42" s="56"/>
      <c r="I42" s="156">
        <f>SUM(I36:I41)</f>
        <v>29</v>
      </c>
      <c r="J42" s="56"/>
      <c r="K42" s="156">
        <f>SUM(K36:K41)</f>
        <v>29</v>
      </c>
      <c r="L42" s="56"/>
      <c r="M42" s="156">
        <f>SUM(M36:M41)</f>
        <v>29</v>
      </c>
      <c r="N42" s="56"/>
      <c r="O42" s="156">
        <f>SUM(O36:O41)</f>
        <v>29</v>
      </c>
      <c r="P42" s="56"/>
      <c r="Q42" s="156">
        <f>SUM(Q36:Q41)</f>
        <v>29</v>
      </c>
      <c r="R42" s="56"/>
      <c r="S42" s="156">
        <f>SUM(S36:S41)</f>
        <v>29</v>
      </c>
      <c r="T42" s="56"/>
      <c r="U42" s="156">
        <f>SUM(U36:U41)</f>
        <v>29</v>
      </c>
      <c r="V42" s="56"/>
      <c r="W42" s="156">
        <f>SUM(W36:W41)</f>
        <v>13</v>
      </c>
      <c r="X42" s="56"/>
      <c r="Y42" s="156">
        <f>SUM(Y36:Y41)</f>
        <v>10</v>
      </c>
      <c r="Z42" s="56"/>
      <c r="AA42" s="156">
        <f>SUM(AA36:AA41)</f>
        <v>8</v>
      </c>
      <c r="AB42" s="56"/>
      <c r="AC42" s="156">
        <f>SUM(AC36:AC41)</f>
        <v>29</v>
      </c>
      <c r="AD42" s="56"/>
      <c r="AE42" s="156">
        <f>SUM(AE36:AE41)</f>
        <v>29</v>
      </c>
      <c r="AF42" s="70"/>
      <c r="AG42" s="70"/>
      <c r="AH42" s="70"/>
    </row>
    <row r="43" ht="11.65" customHeight="1" spans="1:40">
      <c r="A43" s="123"/>
      <c r="B43" s="287"/>
      <c r="C43" s="287"/>
    </row>
    <row r="44" ht="11.65" customHeight="1" spans="1:40">
      <c r="A44" s="123"/>
      <c r="B44" s="310"/>
      <c r="C44" s="310"/>
    </row>
    <row r="45" ht="16.9" customHeight="1"/>
    <row r="46" ht="16.9" customHeight="1"/>
    <row r="47" ht="16.9" customHeight="1"/>
    <row r="48" ht="16.9" customHeight="1"/>
    <row r="49" ht="16.9" customHeight="1"/>
    <row r="50" ht="16.9" customHeight="1"/>
  </sheetData>
  <mergeCells count="17">
    <mergeCell ref="A1:AN1"/>
    <mergeCell ref="A2:AM2"/>
    <mergeCell ref="A3:AM3"/>
    <mergeCell ref="D4:AE4"/>
    <mergeCell ref="AF4:AH4"/>
    <mergeCell ref="AI4:AN4"/>
    <mergeCell ref="A35:B35"/>
    <mergeCell ref="A36:B36"/>
    <mergeCell ref="A37:B37"/>
    <mergeCell ref="A38:B38"/>
    <mergeCell ref="A39:B39"/>
    <mergeCell ref="A40:B40"/>
    <mergeCell ref="A41:B41"/>
    <mergeCell ref="A42:B42"/>
    <mergeCell ref="A4:A5"/>
    <mergeCell ref="B4:B5"/>
    <mergeCell ref="C4:C5"/>
  </mergeCells>
  <pageMargins left="0.25" right="0.25" top="0.75" bottom="0.75" header="0.3" footer="0.3"/>
  <pageSetup paperSize="8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8"/>
  <sheetViews>
    <sheetView zoomScale="74" zoomScaleNormal="74" topLeftCell="A18" workbookViewId="0">
      <selection activeCell="N35" sqref="N35"/>
    </sheetView>
  </sheetViews>
  <sheetFormatPr defaultColWidth="9" defaultRowHeight="15.6"/>
  <cols>
    <col min="1" max="1" width="3.71296296296296" customWidth="1"/>
    <col min="2" max="2" width="36.712962962963" customWidth="1"/>
    <col min="3" max="10" width="4.28703703703704" customWidth="1"/>
    <col min="11" max="11" width="4.28703703703704" style="1" customWidth="1"/>
    <col min="12" max="15" width="4.28703703703704" customWidth="1"/>
    <col min="16" max="16" width="5.85185185185185" customWidth="1"/>
    <col min="17" max="21" width="4.28703703703704" customWidth="1"/>
    <col min="22" max="22" width="4" customWidth="1"/>
    <col min="23" max="23" width="3.28703703703704" customWidth="1"/>
    <col min="24" max="24" width="4.28703703703704" customWidth="1"/>
    <col min="25" max="25" width="3.42592592592593" customWidth="1"/>
    <col min="26" max="27" width="4.28703703703704" customWidth="1"/>
    <col min="28" max="28" width="5.71296296296296" customWidth="1"/>
    <col min="29" max="31" width="4.28703703703704" customWidth="1"/>
    <col min="32" max="32" width="6.71296296296296" customWidth="1"/>
    <col min="33" max="33" width="6.57407407407407" customWidth="1"/>
    <col min="34" max="34" width="4.71296296296296" customWidth="1"/>
    <col min="35" max="35" width="2.28703703703704" customWidth="1"/>
    <col min="36" max="36" width="2" customWidth="1"/>
    <col min="37" max="38" width="2.57407407407407" customWidth="1"/>
    <col min="39" max="39" width="3.28703703703704" customWidth="1"/>
    <col min="40" max="40" width="2.71296296296296" style="2" customWidth="1"/>
  </cols>
  <sheetData>
    <row r="1" ht="24" customHeight="1" spans="1:40">
      <c r="A1" s="3" t="s">
        <v>286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7.15" hidden="1" customHeight="1" spans="1:40">
      <c r="H2" s="286"/>
    </row>
    <row r="3" ht="21" customHeight="1" spans="1:40">
      <c r="A3" s="287" t="s">
        <v>1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</row>
    <row r="4" ht="18" spans="1:40">
      <c r="A4" s="288" t="s">
        <v>319</v>
      </c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88"/>
      <c r="U4" s="288"/>
      <c r="V4" s="288"/>
      <c r="W4" s="288"/>
      <c r="X4" s="288"/>
      <c r="Y4" s="288"/>
      <c r="Z4" s="288"/>
      <c r="AA4" s="288"/>
      <c r="AB4" s="288"/>
      <c r="AC4" s="288"/>
      <c r="AD4" s="288"/>
      <c r="AE4" s="288"/>
      <c r="AF4" s="288"/>
      <c r="AG4" s="288"/>
      <c r="AH4" s="288"/>
      <c r="AI4" s="288"/>
      <c r="AJ4" s="288"/>
      <c r="AK4" s="288"/>
      <c r="AL4" s="288"/>
      <c r="AM4" s="288"/>
    </row>
    <row r="5" ht="26.45" customHeight="1" spans="1:40">
      <c r="A5" s="6" t="s">
        <v>3</v>
      </c>
      <c r="B5" s="7" t="s">
        <v>4</v>
      </c>
      <c r="C5" s="8" t="s">
        <v>5</v>
      </c>
      <c r="D5" s="289" t="s">
        <v>6</v>
      </c>
      <c r="E5" s="289"/>
      <c r="F5" s="289"/>
      <c r="G5" s="289"/>
      <c r="H5" s="289"/>
      <c r="I5" s="289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9"/>
      <c r="X5" s="289"/>
      <c r="Y5" s="289"/>
      <c r="Z5" s="289"/>
      <c r="AA5" s="289"/>
      <c r="AB5" s="289"/>
      <c r="AC5" s="289"/>
      <c r="AD5" s="289"/>
      <c r="AE5" s="289"/>
      <c r="AF5" s="290"/>
      <c r="AG5" s="291"/>
      <c r="AH5" s="292"/>
      <c r="AI5" s="115" t="s">
        <v>7</v>
      </c>
      <c r="AJ5" s="115"/>
      <c r="AK5" s="115"/>
      <c r="AL5" s="115"/>
      <c r="AM5" s="115"/>
      <c r="AN5" s="115"/>
    </row>
    <row r="6" ht="73.15" customHeight="1" spans="1:40">
      <c r="A6" s="6"/>
      <c r="B6" s="6"/>
      <c r="C6" s="13"/>
      <c r="D6" s="14" t="s">
        <v>8</v>
      </c>
      <c r="E6" s="15"/>
      <c r="F6" s="14" t="s">
        <v>9</v>
      </c>
      <c r="G6" s="14"/>
      <c r="H6" s="14" t="s">
        <v>10</v>
      </c>
      <c r="I6" s="14"/>
      <c r="J6" s="14" t="s">
        <v>11</v>
      </c>
      <c r="K6" s="14"/>
      <c r="L6" s="14" t="s">
        <v>12</v>
      </c>
      <c r="M6" s="14"/>
      <c r="N6" s="14" t="s">
        <v>13</v>
      </c>
      <c r="O6" s="14"/>
      <c r="P6" s="16" t="s">
        <v>14</v>
      </c>
      <c r="Q6" s="16"/>
      <c r="R6" s="16" t="s">
        <v>15</v>
      </c>
      <c r="S6" s="16"/>
      <c r="T6" s="16" t="s">
        <v>16</v>
      </c>
      <c r="U6" s="16"/>
      <c r="V6" s="17" t="s">
        <v>17</v>
      </c>
      <c r="W6" s="17"/>
      <c r="X6" s="17" t="s">
        <v>18</v>
      </c>
      <c r="Y6" s="17"/>
      <c r="Z6" s="17" t="s">
        <v>19</v>
      </c>
      <c r="AA6" s="92"/>
      <c r="AB6" s="93" t="s">
        <v>20</v>
      </c>
      <c r="AC6" s="93"/>
      <c r="AD6" s="93" t="s">
        <v>21</v>
      </c>
      <c r="AE6" s="93"/>
      <c r="AF6" s="18" t="s">
        <v>7</v>
      </c>
      <c r="AG6" s="18" t="s">
        <v>22</v>
      </c>
      <c r="AH6" s="18" t="s">
        <v>23</v>
      </c>
      <c r="AI6" s="19" t="s">
        <v>24</v>
      </c>
      <c r="AJ6" s="20" t="s">
        <v>25</v>
      </c>
      <c r="AK6" s="21" t="s">
        <v>26</v>
      </c>
      <c r="AL6" s="20" t="s">
        <v>27</v>
      </c>
      <c r="AM6" s="20" t="s">
        <v>28</v>
      </c>
      <c r="AN6" s="22" t="s">
        <v>29</v>
      </c>
    </row>
    <row r="7" ht="18.6" customHeight="1" spans="1:40">
      <c r="A7" s="39">
        <v>1</v>
      </c>
      <c r="B7" s="276" t="s">
        <v>320</v>
      </c>
      <c r="C7" s="236" t="s">
        <v>321</v>
      </c>
      <c r="D7" s="41">
        <v>50</v>
      </c>
      <c r="E7" s="28" t="str">
        <f>IF(D7&gt;=75,"A",IF(D7&gt;=65,"B",IF(D7&gt;=50,"C",IF(D7&gt;=40,"S","W"))))</f>
        <v>C</v>
      </c>
      <c r="F7" s="49">
        <v>20</v>
      </c>
      <c r="G7" s="49" t="str">
        <f>IF(F7&gt;=75,"A",IF(F7&gt;=65,"B",IF(F7&gt;=50,"C",IF(F7&gt;=40,"S","W"))))</f>
        <v>W</v>
      </c>
      <c r="H7" s="41">
        <v>45</v>
      </c>
      <c r="I7" s="41" t="str">
        <f>IF(H7&gt;=75,"A",IF(H7&gt;=65,"B",IF(H7&gt;=50,"C",IF(H7&gt;=40,"S","W"))))</f>
        <v>S</v>
      </c>
      <c r="J7" s="49">
        <v>53</v>
      </c>
      <c r="K7" s="41" t="str">
        <f>IF(J7&gt;=75,"A",IF(J7&gt;=65,"B",IF(J7&gt;=50,"C",IF(J7&gt;=40,"S","W"))))</f>
        <v>C</v>
      </c>
      <c r="L7" s="41">
        <v>22</v>
      </c>
      <c r="M7" s="41" t="str">
        <f>IF(L7&gt;=75,"A",IF(L7&gt;=65,"B",IF(L7&gt;=50,"C",IF(L7&gt;=40,"S","W"))))</f>
        <v>W</v>
      </c>
      <c r="N7" s="41">
        <v>21</v>
      </c>
      <c r="O7" s="293" t="str">
        <f>IF(N7&gt;=75,"A",IF(N7&gt;=65,"B",IF(N7&gt;=50,"C",IF(N7&gt;=40,"S","W"))))</f>
        <v>W</v>
      </c>
      <c r="P7" s="43">
        <v>60</v>
      </c>
      <c r="Q7" s="43" t="str">
        <f>IF(P7&gt;=75,"A",IF(P7&gt;=65,"B",IF(P7&gt;=50,"C",IF(P7&gt;=40,"S","W"))))</f>
        <v>C</v>
      </c>
      <c r="R7" s="43">
        <v>29</v>
      </c>
      <c r="S7" s="43" t="str">
        <f>IF(R7&gt;=75,"A",IF(R7&gt;=65,"B",IF(R7&gt;=50,"C",IF(R7&gt;=40,"S","W"))))</f>
        <v>W</v>
      </c>
      <c r="T7" s="43">
        <v>42</v>
      </c>
      <c r="U7" s="43" t="str">
        <f>IF(T7&gt;=75,"A",IF(T7&gt;=65,"B",IF(T7&gt;=50,"C",IF(T7&gt;=40,"S","W"))))</f>
        <v>S</v>
      </c>
      <c r="V7" s="44"/>
      <c r="W7" s="44"/>
      <c r="X7" s="44"/>
      <c r="Y7" s="44"/>
      <c r="Z7" s="44">
        <v>69</v>
      </c>
      <c r="AA7" s="44" t="str">
        <f>IF(Z7&gt;=75,"A",IF(Z7&gt;=65,"B",IF(Z7&gt;=50,"C",IF(Z7&gt;=40,"S","W"))))</f>
        <v>B</v>
      </c>
      <c r="AB7" s="99">
        <v>55</v>
      </c>
      <c r="AC7" s="99" t="str">
        <f>IF(AB7&gt;=75,"A",IF(AB7&gt;=65,"B",IF(AB7&gt;=50,"C",IF(AB7&gt;=40,"S","W"))))</f>
        <v>C</v>
      </c>
      <c r="AD7" s="294">
        <v>85</v>
      </c>
      <c r="AE7" s="99" t="str">
        <f>IF(AD7&gt;=75,"A",IF(AD7&gt;=65,"B",IF(AD7&gt;=50,"C",IF(AD7&gt;=40,"S","W"))))</f>
        <v>A</v>
      </c>
      <c r="AF7" s="100">
        <f>SUM(D7,F7,H7,J7,L7,N7,P7,R7,T7,V7,X7,Z7,AB7,AD7)</f>
        <v>551</v>
      </c>
      <c r="AG7" s="101">
        <f>AVERAGE(AF7/12)</f>
        <v>45.9166666666667</v>
      </c>
      <c r="AH7" s="100">
        <f>RANK(AF7,$AF$7:$AF$33,0)</f>
        <v>9</v>
      </c>
      <c r="AI7" s="36">
        <f>COUNTIF(D7:AE7,"A")</f>
        <v>1</v>
      </c>
      <c r="AJ7" s="36">
        <f t="shared" ref="AJ7:AJ33" si="0">COUNTIF(D7:AI7,"B")</f>
        <v>1</v>
      </c>
      <c r="AK7" s="36">
        <f t="shared" ref="AK7:AK33" si="1">COUNTIF(D7:AJ7,"C")</f>
        <v>4</v>
      </c>
      <c r="AL7" s="36">
        <f t="shared" ref="AL7:AL33" si="2">COUNTIF(E7:AK7,"S")</f>
        <v>2</v>
      </c>
      <c r="AM7" s="36">
        <f>COUNTIF(D7:AE7,"W")</f>
        <v>4</v>
      </c>
      <c r="AN7" s="37">
        <f>(COUNTIF(D7:AE7,"AB"))/2</f>
        <v>0</v>
      </c>
    </row>
    <row r="8" s="2" customFormat="1" ht="16.15" customHeight="1" spans="1:40">
      <c r="A8" s="24">
        <v>2</v>
      </c>
      <c r="B8" s="276" t="s">
        <v>322</v>
      </c>
      <c r="C8" s="236" t="s">
        <v>321</v>
      </c>
      <c r="D8" s="41">
        <v>18</v>
      </c>
      <c r="E8" s="28" t="str">
        <f t="shared" ref="E8:E33" si="3">IF(D8&gt;=75,"A",IF(D8&gt;=65,"B",IF(D8&gt;=50,"C",IF(D8&gt;=40,"S","W"))))</f>
        <v>W</v>
      </c>
      <c r="F8" s="49">
        <v>9</v>
      </c>
      <c r="G8" s="49" t="str">
        <f t="shared" ref="G8:G33" si="4">IF(F8&gt;=75,"A",IF(F8&gt;=65,"B",IF(F8&gt;=50,"C",IF(F8&gt;=40,"S","W"))))</f>
        <v>W</v>
      </c>
      <c r="H8" s="41">
        <v>30</v>
      </c>
      <c r="I8" s="41" t="str">
        <f t="shared" ref="I8:I11" si="5">IF(H8&gt;=75,"A",IF(H8&gt;=65,"B",IF(H8&gt;=50,"C",IF(H8&gt;=40,"S","W"))))</f>
        <v>W</v>
      </c>
      <c r="J8" s="49">
        <v>20</v>
      </c>
      <c r="K8" s="41" t="str">
        <f t="shared" ref="K8:K33" si="6">IF(J8&gt;=75,"A",IF(J8&gt;=65,"B",IF(J8&gt;=50,"C",IF(J8&gt;=40,"S","W"))))</f>
        <v>W</v>
      </c>
      <c r="L8" s="49">
        <v>10</v>
      </c>
      <c r="M8" s="41" t="str">
        <f t="shared" ref="M8:M33" si="7">IF(L8&gt;=75,"A",IF(L8&gt;=65,"B",IF(L8&gt;=50,"C",IF(L8&gt;=40,"S","W"))))</f>
        <v>W</v>
      </c>
      <c r="N8" s="49">
        <v>14</v>
      </c>
      <c r="O8" s="293" t="str">
        <f t="shared" ref="O8:O33" si="8">IF(N8&gt;=75,"A",IF(N8&gt;=65,"B",IF(N8&gt;=50,"C",IF(N8&gt;=40,"S","W"))))</f>
        <v>W</v>
      </c>
      <c r="P8" s="43">
        <v>14</v>
      </c>
      <c r="Q8" s="43" t="str">
        <f t="shared" ref="Q8:Q33" si="9">IF(P8&gt;=75,"A",IF(P8&gt;=65,"B",IF(P8&gt;=50,"C",IF(P8&gt;=40,"S","W"))))</f>
        <v>W</v>
      </c>
      <c r="R8" s="43">
        <v>22</v>
      </c>
      <c r="S8" s="43" t="str">
        <f t="shared" ref="S8:S33" si="10">IF(R8&gt;=75,"A",IF(R8&gt;=65,"B",IF(R8&gt;=50,"C",IF(R8&gt;=40,"S","W"))))</f>
        <v>W</v>
      </c>
      <c r="T8" s="43">
        <v>2</v>
      </c>
      <c r="U8" s="43" t="str">
        <f t="shared" ref="U8:U33" si="11">IF(T8&gt;=75,"A",IF(T8&gt;=65,"B",IF(T8&gt;=50,"C",IF(T8&gt;=40,"S","W"))))</f>
        <v>W</v>
      </c>
      <c r="V8" s="44"/>
      <c r="W8" s="44"/>
      <c r="X8" s="44"/>
      <c r="Y8" s="44"/>
      <c r="Z8" s="44">
        <v>14</v>
      </c>
      <c r="AA8" s="44" t="str">
        <f t="shared" ref="AA8:AA22" si="12">IF(Z8&gt;=75,"A",IF(Z8&gt;=65,"B",IF(Z8&gt;=50,"C",IF(Z8&gt;=40,"S","W"))))</f>
        <v>W</v>
      </c>
      <c r="AB8" s="99">
        <v>29</v>
      </c>
      <c r="AC8" s="99" t="str">
        <f t="shared" ref="AC8:AC33" si="13">IF(AB8&gt;=75,"A",IF(AB8&gt;=65,"B",IF(AB8&gt;=50,"C",IF(AB8&gt;=40,"S","W"))))</f>
        <v>W</v>
      </c>
      <c r="AD8" s="294">
        <v>45</v>
      </c>
      <c r="AE8" s="99" t="str">
        <f t="shared" ref="AE8:AE13" si="14">IF(AD8&gt;=75,"A",IF(AD8&gt;=65,"B",IF(AD8&gt;=50,"C",IF(AD8&gt;=40,"S","W"))))</f>
        <v>S</v>
      </c>
      <c r="AF8" s="100">
        <f t="shared" ref="AF8:AF33" si="15">SUM(D8,F8,H8,J8,L8,N8,P8,R8,T8,V8,X8,Z8,AB8,AD8)</f>
        <v>227</v>
      </c>
      <c r="AG8" s="101">
        <f t="shared" ref="AG8:AG33" si="16">AVERAGE(AF8/12)</f>
        <v>18.9166666666667</v>
      </c>
      <c r="AH8" s="100">
        <f t="shared" ref="AH8:AH33" si="17">RANK(AF8,$AF$7:$AF$33,0)</f>
        <v>21</v>
      </c>
      <c r="AI8" s="36">
        <f t="shared" ref="AI8:AI33" si="18">COUNTIF(D8:AE8,"A")</f>
        <v>0</v>
      </c>
      <c r="AJ8" s="36">
        <f t="shared" si="0"/>
        <v>0</v>
      </c>
      <c r="AK8" s="36">
        <f t="shared" si="1"/>
        <v>0</v>
      </c>
      <c r="AL8" s="36">
        <f t="shared" si="2"/>
        <v>1</v>
      </c>
      <c r="AM8" s="36">
        <f t="shared" ref="AM8:AM33" si="19">COUNTIF(D8:AE8,"W")</f>
        <v>11</v>
      </c>
      <c r="AN8" s="37">
        <f t="shared" ref="AN8:AN33" si="20">(COUNTIF(D8:AE8,"AB"))/2</f>
        <v>0</v>
      </c>
    </row>
    <row r="9" s="2" customFormat="1" ht="16.15" customHeight="1" spans="1:40">
      <c r="A9" s="39">
        <v>3</v>
      </c>
      <c r="B9" s="276" t="s">
        <v>323</v>
      </c>
      <c r="C9" s="236" t="s">
        <v>321</v>
      </c>
      <c r="D9" s="49">
        <v>63</v>
      </c>
      <c r="E9" s="28" t="str">
        <f t="shared" si="3"/>
        <v>C</v>
      </c>
      <c r="F9" s="49">
        <v>18</v>
      </c>
      <c r="G9" s="49" t="str">
        <f t="shared" si="4"/>
        <v>W</v>
      </c>
      <c r="H9" s="49">
        <v>34</v>
      </c>
      <c r="I9" s="41" t="str">
        <f t="shared" si="5"/>
        <v>W</v>
      </c>
      <c r="J9" s="49">
        <v>26</v>
      </c>
      <c r="K9" s="41" t="str">
        <f t="shared" si="6"/>
        <v>W</v>
      </c>
      <c r="L9" s="41">
        <v>24</v>
      </c>
      <c r="M9" s="41" t="str">
        <f t="shared" si="7"/>
        <v>W</v>
      </c>
      <c r="N9" s="41">
        <v>20</v>
      </c>
      <c r="O9" s="293" t="str">
        <f t="shared" si="8"/>
        <v>W</v>
      </c>
      <c r="P9" s="43">
        <v>42</v>
      </c>
      <c r="Q9" s="43" t="str">
        <f t="shared" si="9"/>
        <v>S</v>
      </c>
      <c r="R9" s="43">
        <v>27</v>
      </c>
      <c r="S9" s="43" t="str">
        <f t="shared" si="10"/>
        <v>W</v>
      </c>
      <c r="T9" s="43">
        <v>21</v>
      </c>
      <c r="U9" s="43" t="str">
        <f t="shared" si="11"/>
        <v>W</v>
      </c>
      <c r="V9" s="44"/>
      <c r="W9" s="44"/>
      <c r="X9" s="44">
        <v>82</v>
      </c>
      <c r="Y9" s="44" t="str">
        <f>IF(X9&gt;=75,"A",IF(X9&gt;=65,"B",IF(X9&gt;=50,"C",IF(X9&gt;=40,"S","W"))))</f>
        <v>A</v>
      </c>
      <c r="Z9" s="44"/>
      <c r="AA9" s="44"/>
      <c r="AB9" s="99">
        <v>49</v>
      </c>
      <c r="AC9" s="99" t="str">
        <f t="shared" si="13"/>
        <v>S</v>
      </c>
      <c r="AD9" s="294">
        <v>74</v>
      </c>
      <c r="AE9" s="99" t="str">
        <f t="shared" si="14"/>
        <v>B</v>
      </c>
      <c r="AF9" s="100">
        <f t="shared" si="15"/>
        <v>480</v>
      </c>
      <c r="AG9" s="101">
        <f t="shared" si="16"/>
        <v>40</v>
      </c>
      <c r="AH9" s="100">
        <f t="shared" si="17"/>
        <v>10</v>
      </c>
      <c r="AI9" s="36">
        <f t="shared" si="18"/>
        <v>1</v>
      </c>
      <c r="AJ9" s="36">
        <f t="shared" si="0"/>
        <v>1</v>
      </c>
      <c r="AK9" s="36">
        <f t="shared" si="1"/>
        <v>1</v>
      </c>
      <c r="AL9" s="36">
        <f t="shared" si="2"/>
        <v>2</v>
      </c>
      <c r="AM9" s="36">
        <f t="shared" si="19"/>
        <v>7</v>
      </c>
      <c r="AN9" s="37">
        <f t="shared" si="20"/>
        <v>0</v>
      </c>
    </row>
    <row r="10" s="2" customFormat="1" ht="16.15" customHeight="1" spans="1:40">
      <c r="A10" s="24">
        <v>4</v>
      </c>
      <c r="B10" s="276" t="s">
        <v>324</v>
      </c>
      <c r="C10" s="236" t="s">
        <v>321</v>
      </c>
      <c r="D10" s="41">
        <v>47</v>
      </c>
      <c r="E10" s="28" t="str">
        <f t="shared" si="3"/>
        <v>S</v>
      </c>
      <c r="F10" s="49">
        <v>12</v>
      </c>
      <c r="G10" s="49" t="str">
        <f t="shared" si="4"/>
        <v>W</v>
      </c>
      <c r="H10" s="41">
        <v>19</v>
      </c>
      <c r="I10" s="41" t="str">
        <f t="shared" si="5"/>
        <v>W</v>
      </c>
      <c r="J10" s="49">
        <v>20</v>
      </c>
      <c r="K10" s="41" t="str">
        <f t="shared" si="6"/>
        <v>W</v>
      </c>
      <c r="L10" s="49">
        <v>20</v>
      </c>
      <c r="M10" s="41" t="str">
        <f t="shared" si="7"/>
        <v>W</v>
      </c>
      <c r="N10" s="41">
        <v>19</v>
      </c>
      <c r="O10" s="293" t="str">
        <f t="shared" si="8"/>
        <v>W</v>
      </c>
      <c r="P10" s="43">
        <v>49</v>
      </c>
      <c r="Q10" s="43" t="str">
        <f t="shared" si="9"/>
        <v>S</v>
      </c>
      <c r="R10" s="43">
        <v>16</v>
      </c>
      <c r="S10" s="43" t="str">
        <f t="shared" si="10"/>
        <v>W</v>
      </c>
      <c r="T10" s="43">
        <v>13</v>
      </c>
      <c r="U10" s="43" t="str">
        <f t="shared" si="11"/>
        <v>W</v>
      </c>
      <c r="V10" s="44"/>
      <c r="W10" s="44"/>
      <c r="X10" s="44"/>
      <c r="Y10" s="44"/>
      <c r="Z10" s="44">
        <v>55</v>
      </c>
      <c r="AA10" s="44" t="str">
        <f t="shared" si="12"/>
        <v>C</v>
      </c>
      <c r="AB10" s="99">
        <v>45</v>
      </c>
      <c r="AC10" s="99" t="str">
        <f t="shared" si="13"/>
        <v>S</v>
      </c>
      <c r="AD10" s="294">
        <v>67</v>
      </c>
      <c r="AE10" s="99" t="str">
        <f t="shared" si="14"/>
        <v>B</v>
      </c>
      <c r="AF10" s="100">
        <f t="shared" si="15"/>
        <v>382</v>
      </c>
      <c r="AG10" s="101">
        <f t="shared" si="16"/>
        <v>31.8333333333333</v>
      </c>
      <c r="AH10" s="100">
        <f t="shared" si="17"/>
        <v>18</v>
      </c>
      <c r="AI10" s="36">
        <f t="shared" si="18"/>
        <v>0</v>
      </c>
      <c r="AJ10" s="36">
        <f t="shared" si="0"/>
        <v>1</v>
      </c>
      <c r="AK10" s="36">
        <f t="shared" si="1"/>
        <v>1</v>
      </c>
      <c r="AL10" s="36">
        <f t="shared" si="2"/>
        <v>3</v>
      </c>
      <c r="AM10" s="36">
        <f t="shared" si="19"/>
        <v>7</v>
      </c>
      <c r="AN10" s="37">
        <f t="shared" si="20"/>
        <v>0</v>
      </c>
    </row>
    <row r="11" s="2" customFormat="1" ht="16.15" customHeight="1" spans="1:40">
      <c r="A11" s="39">
        <v>5</v>
      </c>
      <c r="B11" s="276" t="s">
        <v>325</v>
      </c>
      <c r="C11" s="236" t="s">
        <v>321</v>
      </c>
      <c r="D11" s="41">
        <v>52</v>
      </c>
      <c r="E11" s="28" t="str">
        <f t="shared" si="3"/>
        <v>C</v>
      </c>
      <c r="F11" s="49">
        <v>10</v>
      </c>
      <c r="G11" s="49" t="str">
        <f t="shared" si="4"/>
        <v>W</v>
      </c>
      <c r="H11" s="41">
        <v>48</v>
      </c>
      <c r="I11" s="41" t="str">
        <f t="shared" si="5"/>
        <v>S</v>
      </c>
      <c r="J11" s="49">
        <v>50</v>
      </c>
      <c r="K11" s="41" t="str">
        <f t="shared" si="6"/>
        <v>C</v>
      </c>
      <c r="L11" s="41">
        <v>45</v>
      </c>
      <c r="M11" s="41" t="str">
        <f t="shared" si="7"/>
        <v>S</v>
      </c>
      <c r="N11" s="49">
        <v>46</v>
      </c>
      <c r="O11" s="293" t="str">
        <f t="shared" si="8"/>
        <v>S</v>
      </c>
      <c r="P11" s="43">
        <v>60</v>
      </c>
      <c r="Q11" s="43" t="str">
        <f t="shared" si="9"/>
        <v>C</v>
      </c>
      <c r="R11" s="43">
        <v>34</v>
      </c>
      <c r="S11" s="43" t="str">
        <f t="shared" si="10"/>
        <v>W</v>
      </c>
      <c r="T11" s="43">
        <v>44</v>
      </c>
      <c r="U11" s="43" t="str">
        <f t="shared" si="11"/>
        <v>S</v>
      </c>
      <c r="V11" s="44">
        <v>56</v>
      </c>
      <c r="W11" s="44" t="str">
        <f>IF(V11&gt;=75,"A",IF(V11&gt;=65,"B",IF(V11&gt;=50,"C",IF(V11&gt;=40,"S","W"))))</f>
        <v>C</v>
      </c>
      <c r="X11" s="44"/>
      <c r="Y11" s="44"/>
      <c r="Z11" s="44"/>
      <c r="AA11" s="44"/>
      <c r="AB11" s="99">
        <v>44</v>
      </c>
      <c r="AC11" s="99" t="str">
        <f t="shared" si="13"/>
        <v>S</v>
      </c>
      <c r="AD11" s="294">
        <v>65</v>
      </c>
      <c r="AE11" s="99" t="str">
        <f t="shared" si="14"/>
        <v>B</v>
      </c>
      <c r="AF11" s="100">
        <f t="shared" si="15"/>
        <v>554</v>
      </c>
      <c r="AG11" s="101">
        <f t="shared" si="16"/>
        <v>46.1666666666667</v>
      </c>
      <c r="AH11" s="100">
        <f t="shared" si="17"/>
        <v>8</v>
      </c>
      <c r="AI11" s="36">
        <f t="shared" si="18"/>
        <v>0</v>
      </c>
      <c r="AJ11" s="36">
        <f t="shared" si="0"/>
        <v>1</v>
      </c>
      <c r="AK11" s="36">
        <f t="shared" si="1"/>
        <v>4</v>
      </c>
      <c r="AL11" s="36">
        <f t="shared" si="2"/>
        <v>5</v>
      </c>
      <c r="AM11" s="36">
        <f t="shared" si="19"/>
        <v>2</v>
      </c>
      <c r="AN11" s="37">
        <f t="shared" si="20"/>
        <v>0</v>
      </c>
    </row>
    <row r="12" s="2" customFormat="1" ht="16.15" customHeight="1" spans="1:40">
      <c r="A12" s="24">
        <v>6</v>
      </c>
      <c r="B12" s="276" t="s">
        <v>326</v>
      </c>
      <c r="C12" s="236" t="s">
        <v>321</v>
      </c>
      <c r="D12" s="46" t="s">
        <v>29</v>
      </c>
      <c r="E12" s="46" t="s">
        <v>29</v>
      </c>
      <c r="F12" s="49">
        <v>9</v>
      </c>
      <c r="G12" s="49" t="str">
        <f t="shared" si="4"/>
        <v>W</v>
      </c>
      <c r="H12" s="41">
        <v>21</v>
      </c>
      <c r="I12" s="41" t="str">
        <f t="shared" ref="I12:I33" si="21">IF(H12&gt;=75,"A",IF(H12&gt;=65,"B",IF(H12&gt;=50,"C",IF(H12&gt;=40,"S","W"))))</f>
        <v>W</v>
      </c>
      <c r="J12" s="49">
        <v>16</v>
      </c>
      <c r="K12" s="41" t="str">
        <f t="shared" si="6"/>
        <v>W</v>
      </c>
      <c r="L12" s="46" t="s">
        <v>29</v>
      </c>
      <c r="M12" s="46" t="s">
        <v>29</v>
      </c>
      <c r="N12" s="41">
        <v>16</v>
      </c>
      <c r="O12" s="293" t="str">
        <f t="shared" si="8"/>
        <v>W</v>
      </c>
      <c r="P12" s="42" t="s">
        <v>29</v>
      </c>
      <c r="Q12" s="42" t="s">
        <v>29</v>
      </c>
      <c r="R12" s="43">
        <v>16</v>
      </c>
      <c r="S12" s="43" t="str">
        <f t="shared" si="10"/>
        <v>W</v>
      </c>
      <c r="T12" s="43">
        <v>20</v>
      </c>
      <c r="U12" s="43" t="str">
        <f t="shared" si="11"/>
        <v>W</v>
      </c>
      <c r="V12" s="44"/>
      <c r="W12" s="44"/>
      <c r="X12" s="44"/>
      <c r="Y12" s="44"/>
      <c r="Z12" s="44">
        <v>14</v>
      </c>
      <c r="AA12" s="44" t="str">
        <f t="shared" si="12"/>
        <v>W</v>
      </c>
      <c r="AB12" s="99">
        <v>17</v>
      </c>
      <c r="AC12" s="99" t="str">
        <f t="shared" si="13"/>
        <v>W</v>
      </c>
      <c r="AD12" s="294">
        <v>43</v>
      </c>
      <c r="AE12" s="99" t="str">
        <f t="shared" si="14"/>
        <v>S</v>
      </c>
      <c r="AF12" s="100">
        <f t="shared" si="15"/>
        <v>172</v>
      </c>
      <c r="AG12" s="101">
        <f t="shared" si="16"/>
        <v>14.3333333333333</v>
      </c>
      <c r="AH12" s="100">
        <f t="shared" si="17"/>
        <v>23</v>
      </c>
      <c r="AI12" s="36">
        <f t="shared" si="18"/>
        <v>0</v>
      </c>
      <c r="AJ12" s="36">
        <f t="shared" si="0"/>
        <v>0</v>
      </c>
      <c r="AK12" s="36">
        <f t="shared" si="1"/>
        <v>0</v>
      </c>
      <c r="AL12" s="36">
        <f t="shared" si="2"/>
        <v>1</v>
      </c>
      <c r="AM12" s="36">
        <f t="shared" si="19"/>
        <v>8</v>
      </c>
      <c r="AN12" s="37">
        <f t="shared" si="20"/>
        <v>3</v>
      </c>
    </row>
    <row r="13" s="2" customFormat="1" ht="16.15" customHeight="1" spans="1:40">
      <c r="A13" s="39">
        <v>7</v>
      </c>
      <c r="B13" s="276" t="s">
        <v>327</v>
      </c>
      <c r="C13" s="236" t="s">
        <v>321</v>
      </c>
      <c r="D13" s="41">
        <v>68</v>
      </c>
      <c r="E13" s="28" t="str">
        <f t="shared" si="3"/>
        <v>B</v>
      </c>
      <c r="F13" s="41">
        <v>26</v>
      </c>
      <c r="G13" s="49" t="str">
        <f t="shared" si="4"/>
        <v>W</v>
      </c>
      <c r="H13" s="41">
        <v>70</v>
      </c>
      <c r="I13" s="41" t="str">
        <f t="shared" si="21"/>
        <v>B</v>
      </c>
      <c r="J13" s="41">
        <v>16</v>
      </c>
      <c r="K13" s="41" t="str">
        <f t="shared" si="6"/>
        <v>W</v>
      </c>
      <c r="L13" s="41">
        <v>20</v>
      </c>
      <c r="M13" s="41" t="str">
        <f t="shared" si="7"/>
        <v>W</v>
      </c>
      <c r="N13" s="49">
        <v>89</v>
      </c>
      <c r="O13" s="293" t="str">
        <f t="shared" si="8"/>
        <v>A</v>
      </c>
      <c r="P13" s="43">
        <v>75</v>
      </c>
      <c r="Q13" s="43" t="str">
        <f t="shared" si="9"/>
        <v>A</v>
      </c>
      <c r="R13" s="43">
        <v>86</v>
      </c>
      <c r="S13" s="43" t="str">
        <f t="shared" si="10"/>
        <v>A</v>
      </c>
      <c r="T13" s="43">
        <v>12</v>
      </c>
      <c r="U13" s="43" t="str">
        <f t="shared" si="11"/>
        <v>W</v>
      </c>
      <c r="V13" s="44">
        <v>64</v>
      </c>
      <c r="W13" s="44" t="str">
        <f t="shared" ref="W13:W31" si="22">IF(V13&gt;=75,"A",IF(V13&gt;=65,"B",IF(V13&gt;=50,"C",IF(V13&gt;=40,"S","W"))))</f>
        <v>C</v>
      </c>
      <c r="X13" s="44"/>
      <c r="Y13" s="44"/>
      <c r="Z13" s="44"/>
      <c r="AA13" s="44"/>
      <c r="AB13" s="99">
        <v>65</v>
      </c>
      <c r="AC13" s="99" t="str">
        <f t="shared" si="13"/>
        <v>B</v>
      </c>
      <c r="AD13" s="99">
        <v>90</v>
      </c>
      <c r="AE13" s="99" t="str">
        <f t="shared" si="14"/>
        <v>A</v>
      </c>
      <c r="AF13" s="100">
        <f t="shared" si="15"/>
        <v>681</v>
      </c>
      <c r="AG13" s="101">
        <f t="shared" si="16"/>
        <v>56.75</v>
      </c>
      <c r="AH13" s="100">
        <f t="shared" si="17"/>
        <v>5</v>
      </c>
      <c r="AI13" s="36">
        <f t="shared" si="18"/>
        <v>4</v>
      </c>
      <c r="AJ13" s="36">
        <f t="shared" si="0"/>
        <v>3</v>
      </c>
      <c r="AK13" s="36">
        <f t="shared" si="1"/>
        <v>1</v>
      </c>
      <c r="AL13" s="36">
        <f t="shared" si="2"/>
        <v>0</v>
      </c>
      <c r="AM13" s="36">
        <f t="shared" si="19"/>
        <v>4</v>
      </c>
      <c r="AN13" s="37">
        <f t="shared" si="20"/>
        <v>0</v>
      </c>
    </row>
    <row r="14" s="2" customFormat="1" ht="16.15" customHeight="1" spans="1:40">
      <c r="A14" s="24">
        <v>8</v>
      </c>
      <c r="B14" s="276" t="s">
        <v>328</v>
      </c>
      <c r="C14" s="236" t="s">
        <v>321</v>
      </c>
      <c r="D14" s="46" t="s">
        <v>29</v>
      </c>
      <c r="E14" s="46" t="s">
        <v>29</v>
      </c>
      <c r="F14" s="46" t="s">
        <v>29</v>
      </c>
      <c r="G14" s="46" t="s">
        <v>29</v>
      </c>
      <c r="H14" s="46" t="s">
        <v>29</v>
      </c>
      <c r="I14" s="46" t="s">
        <v>29</v>
      </c>
      <c r="J14" s="46" t="s">
        <v>29</v>
      </c>
      <c r="K14" s="46" t="s">
        <v>29</v>
      </c>
      <c r="L14" s="46" t="s">
        <v>29</v>
      </c>
      <c r="M14" s="46" t="s">
        <v>29</v>
      </c>
      <c r="N14" s="46" t="s">
        <v>29</v>
      </c>
      <c r="O14" s="46" t="s">
        <v>29</v>
      </c>
      <c r="P14" s="42" t="s">
        <v>29</v>
      </c>
      <c r="Q14" s="42" t="s">
        <v>29</v>
      </c>
      <c r="R14" s="43">
        <v>39</v>
      </c>
      <c r="S14" s="43" t="str">
        <f t="shared" si="10"/>
        <v>W</v>
      </c>
      <c r="T14" s="42" t="s">
        <v>29</v>
      </c>
      <c r="U14" s="42" t="s">
        <v>29</v>
      </c>
      <c r="V14" s="44"/>
      <c r="W14" s="44"/>
      <c r="X14" s="86" t="s">
        <v>29</v>
      </c>
      <c r="Y14" s="86" t="s">
        <v>29</v>
      </c>
      <c r="Z14" s="44"/>
      <c r="AA14" s="44"/>
      <c r="AB14" s="99">
        <v>76</v>
      </c>
      <c r="AC14" s="99" t="str">
        <f t="shared" si="13"/>
        <v>A</v>
      </c>
      <c r="AD14" s="99">
        <v>52</v>
      </c>
      <c r="AE14" s="99" t="str">
        <f t="shared" ref="AE14:AE33" si="23">IF(AD14&gt;=75,"A",IF(AD14&gt;=65,"B",IF(AD14&gt;=50,"C",IF(AD14&gt;=40,"S","W"))))</f>
        <v>C</v>
      </c>
      <c r="AF14" s="100">
        <f t="shared" si="15"/>
        <v>167</v>
      </c>
      <c r="AG14" s="101">
        <f t="shared" si="16"/>
        <v>13.9166666666667</v>
      </c>
      <c r="AH14" s="100">
        <f t="shared" si="17"/>
        <v>24</v>
      </c>
      <c r="AI14" s="36">
        <f t="shared" si="18"/>
        <v>1</v>
      </c>
      <c r="AJ14" s="36">
        <f t="shared" si="0"/>
        <v>0</v>
      </c>
      <c r="AK14" s="36">
        <f t="shared" si="1"/>
        <v>1</v>
      </c>
      <c r="AL14" s="36">
        <f t="shared" si="2"/>
        <v>0</v>
      </c>
      <c r="AM14" s="36">
        <f t="shared" si="19"/>
        <v>1</v>
      </c>
      <c r="AN14" s="37">
        <f t="shared" si="20"/>
        <v>9</v>
      </c>
    </row>
    <row r="15" s="2" customFormat="1" ht="16.15" customHeight="1" spans="1:40">
      <c r="A15" s="39">
        <v>9</v>
      </c>
      <c r="B15" s="276" t="s">
        <v>329</v>
      </c>
      <c r="C15" s="236" t="s">
        <v>321</v>
      </c>
      <c r="D15" s="41">
        <v>42</v>
      </c>
      <c r="E15" s="28" t="str">
        <f t="shared" si="3"/>
        <v>S</v>
      </c>
      <c r="F15" s="41">
        <v>13</v>
      </c>
      <c r="G15" s="49" t="str">
        <f t="shared" si="4"/>
        <v>W</v>
      </c>
      <c r="H15" s="41">
        <v>41</v>
      </c>
      <c r="I15" s="41" t="str">
        <f t="shared" si="21"/>
        <v>S</v>
      </c>
      <c r="J15" s="41">
        <v>31</v>
      </c>
      <c r="K15" s="41" t="str">
        <f t="shared" si="6"/>
        <v>W</v>
      </c>
      <c r="L15" s="41">
        <v>21</v>
      </c>
      <c r="M15" s="41" t="str">
        <f t="shared" si="7"/>
        <v>W</v>
      </c>
      <c r="N15" s="41">
        <v>11</v>
      </c>
      <c r="O15" s="293" t="str">
        <f t="shared" si="8"/>
        <v>W</v>
      </c>
      <c r="P15" s="43">
        <v>50</v>
      </c>
      <c r="Q15" s="43" t="str">
        <f t="shared" si="9"/>
        <v>C</v>
      </c>
      <c r="R15" s="43">
        <v>34</v>
      </c>
      <c r="S15" s="43" t="str">
        <f t="shared" si="10"/>
        <v>W</v>
      </c>
      <c r="T15" s="43">
        <v>7</v>
      </c>
      <c r="U15" s="43" t="str">
        <f t="shared" si="11"/>
        <v>W</v>
      </c>
      <c r="V15" s="44"/>
      <c r="W15" s="44"/>
      <c r="X15" s="44"/>
      <c r="Y15" s="44"/>
      <c r="Z15" s="44">
        <v>38</v>
      </c>
      <c r="AA15" s="44" t="str">
        <f t="shared" si="12"/>
        <v>W</v>
      </c>
      <c r="AB15" s="99">
        <v>33</v>
      </c>
      <c r="AC15" s="99" t="str">
        <f t="shared" si="13"/>
        <v>W</v>
      </c>
      <c r="AD15" s="99">
        <v>72</v>
      </c>
      <c r="AE15" s="99" t="str">
        <f t="shared" si="23"/>
        <v>B</v>
      </c>
      <c r="AF15" s="100">
        <f t="shared" si="15"/>
        <v>393</v>
      </c>
      <c r="AG15" s="101">
        <f t="shared" si="16"/>
        <v>32.75</v>
      </c>
      <c r="AH15" s="100">
        <f t="shared" si="17"/>
        <v>16</v>
      </c>
      <c r="AI15" s="36">
        <f t="shared" si="18"/>
        <v>0</v>
      </c>
      <c r="AJ15" s="36">
        <f t="shared" si="0"/>
        <v>1</v>
      </c>
      <c r="AK15" s="36">
        <f t="shared" si="1"/>
        <v>1</v>
      </c>
      <c r="AL15" s="36">
        <f t="shared" si="2"/>
        <v>2</v>
      </c>
      <c r="AM15" s="36">
        <f t="shared" si="19"/>
        <v>8</v>
      </c>
      <c r="AN15" s="37">
        <f t="shared" si="20"/>
        <v>0</v>
      </c>
    </row>
    <row r="16" s="2" customFormat="1" ht="16.15" customHeight="1" spans="1:40">
      <c r="A16" s="295">
        <v>10</v>
      </c>
      <c r="B16" s="296" t="s">
        <v>330</v>
      </c>
      <c r="C16" s="297" t="s">
        <v>321</v>
      </c>
      <c r="D16" s="298" t="s">
        <v>29</v>
      </c>
      <c r="E16" s="298" t="s">
        <v>29</v>
      </c>
      <c r="F16" s="298" t="s">
        <v>29</v>
      </c>
      <c r="G16" s="298" t="s">
        <v>29</v>
      </c>
      <c r="H16" s="298" t="s">
        <v>29</v>
      </c>
      <c r="I16" s="298" t="s">
        <v>29</v>
      </c>
      <c r="J16" s="298" t="s">
        <v>29</v>
      </c>
      <c r="K16" s="298" t="s">
        <v>29</v>
      </c>
      <c r="L16" s="298" t="s">
        <v>29</v>
      </c>
      <c r="M16" s="298" t="s">
        <v>29</v>
      </c>
      <c r="N16" s="298" t="s">
        <v>29</v>
      </c>
      <c r="O16" s="298" t="s">
        <v>29</v>
      </c>
      <c r="P16" s="299" t="s">
        <v>29</v>
      </c>
      <c r="Q16" s="299" t="s">
        <v>29</v>
      </c>
      <c r="R16" s="299" t="s">
        <v>29</v>
      </c>
      <c r="S16" s="299" t="s">
        <v>29</v>
      </c>
      <c r="T16" s="299" t="s">
        <v>29</v>
      </c>
      <c r="U16" s="299" t="s">
        <v>29</v>
      </c>
      <c r="V16" s="299" t="s">
        <v>29</v>
      </c>
      <c r="W16" s="299" t="s">
        <v>29</v>
      </c>
      <c r="X16" s="299" t="s">
        <v>29</v>
      </c>
      <c r="Y16" s="299" t="s">
        <v>29</v>
      </c>
      <c r="Z16" s="299" t="s">
        <v>29</v>
      </c>
      <c r="AA16" s="299" t="s">
        <v>29</v>
      </c>
      <c r="AB16" s="299" t="s">
        <v>29</v>
      </c>
      <c r="AC16" s="299" t="s">
        <v>29</v>
      </c>
      <c r="AD16" s="299" t="s">
        <v>29</v>
      </c>
      <c r="AE16" s="299" t="s">
        <v>29</v>
      </c>
      <c r="AF16" s="300">
        <f t="shared" si="15"/>
        <v>0</v>
      </c>
      <c r="AG16" s="301">
        <f t="shared" si="16"/>
        <v>0</v>
      </c>
      <c r="AH16" s="300">
        <f t="shared" si="17"/>
        <v>26</v>
      </c>
      <c r="AI16" s="302">
        <f t="shared" si="18"/>
        <v>0</v>
      </c>
      <c r="AJ16" s="302">
        <f t="shared" si="0"/>
        <v>0</v>
      </c>
      <c r="AK16" s="302">
        <f t="shared" si="1"/>
        <v>0</v>
      </c>
      <c r="AL16" s="302">
        <f t="shared" si="2"/>
        <v>0</v>
      </c>
      <c r="AM16" s="302">
        <f t="shared" si="19"/>
        <v>0</v>
      </c>
      <c r="AN16" s="303">
        <f t="shared" si="20"/>
        <v>14</v>
      </c>
    </row>
    <row r="17" s="284" customFormat="1" ht="16.15" customHeight="1" spans="1:40">
      <c r="A17" s="24">
        <v>11</v>
      </c>
      <c r="B17" s="276" t="s">
        <v>331</v>
      </c>
      <c r="C17" s="236" t="s">
        <v>321</v>
      </c>
      <c r="D17" s="41">
        <v>41</v>
      </c>
      <c r="E17" s="28" t="str">
        <f t="shared" si="3"/>
        <v>S</v>
      </c>
      <c r="F17" s="49">
        <v>15</v>
      </c>
      <c r="G17" s="49" t="str">
        <f t="shared" si="4"/>
        <v>W</v>
      </c>
      <c r="H17" s="41">
        <v>47</v>
      </c>
      <c r="I17" s="41" t="str">
        <f t="shared" si="21"/>
        <v>S</v>
      </c>
      <c r="J17" s="41">
        <v>23</v>
      </c>
      <c r="K17" s="41" t="str">
        <f t="shared" si="6"/>
        <v>W</v>
      </c>
      <c r="L17" s="41">
        <v>25</v>
      </c>
      <c r="M17" s="41" t="str">
        <f t="shared" si="7"/>
        <v>W</v>
      </c>
      <c r="N17" s="41">
        <v>23</v>
      </c>
      <c r="O17" s="293" t="str">
        <f t="shared" si="8"/>
        <v>W</v>
      </c>
      <c r="P17" s="43">
        <v>47</v>
      </c>
      <c r="Q17" s="43" t="str">
        <f t="shared" si="9"/>
        <v>S</v>
      </c>
      <c r="R17" s="43">
        <v>25</v>
      </c>
      <c r="S17" s="43" t="str">
        <f t="shared" si="10"/>
        <v>W</v>
      </c>
      <c r="T17" s="43">
        <v>3</v>
      </c>
      <c r="U17" s="43" t="str">
        <f t="shared" si="11"/>
        <v>W</v>
      </c>
      <c r="V17" s="44">
        <v>49</v>
      </c>
      <c r="W17" s="44" t="str">
        <f t="shared" si="22"/>
        <v>S</v>
      </c>
      <c r="X17" s="44"/>
      <c r="Y17" s="44"/>
      <c r="Z17" s="44"/>
      <c r="AA17" s="44"/>
      <c r="AB17" s="99">
        <v>55</v>
      </c>
      <c r="AC17" s="99" t="str">
        <f t="shared" si="13"/>
        <v>C</v>
      </c>
      <c r="AD17" s="294">
        <v>74</v>
      </c>
      <c r="AE17" s="99" t="str">
        <f t="shared" si="23"/>
        <v>B</v>
      </c>
      <c r="AF17" s="100">
        <f t="shared" si="15"/>
        <v>427</v>
      </c>
      <c r="AG17" s="101">
        <f t="shared" si="16"/>
        <v>35.5833333333333</v>
      </c>
      <c r="AH17" s="100">
        <f t="shared" si="17"/>
        <v>13</v>
      </c>
      <c r="AI17" s="36">
        <f t="shared" si="18"/>
        <v>0</v>
      </c>
      <c r="AJ17" s="36">
        <f t="shared" si="0"/>
        <v>1</v>
      </c>
      <c r="AK17" s="36">
        <f t="shared" si="1"/>
        <v>1</v>
      </c>
      <c r="AL17" s="36">
        <f t="shared" si="2"/>
        <v>4</v>
      </c>
      <c r="AM17" s="36">
        <f t="shared" si="19"/>
        <v>6</v>
      </c>
      <c r="AN17" s="37">
        <f t="shared" si="20"/>
        <v>0</v>
      </c>
    </row>
    <row r="18" s="2" customFormat="1" ht="16.15" customHeight="1" spans="1:40">
      <c r="A18" s="39">
        <v>12</v>
      </c>
      <c r="B18" s="276" t="s">
        <v>332</v>
      </c>
      <c r="C18" s="236" t="s">
        <v>321</v>
      </c>
      <c r="D18" s="41">
        <v>33</v>
      </c>
      <c r="E18" s="28" t="str">
        <f t="shared" si="3"/>
        <v>W</v>
      </c>
      <c r="F18" s="49">
        <v>11</v>
      </c>
      <c r="G18" s="49" t="str">
        <f t="shared" si="4"/>
        <v>W</v>
      </c>
      <c r="H18" s="41">
        <v>23</v>
      </c>
      <c r="I18" s="41" t="str">
        <f t="shared" si="21"/>
        <v>W</v>
      </c>
      <c r="J18" s="41">
        <v>14</v>
      </c>
      <c r="K18" s="41" t="str">
        <f t="shared" si="6"/>
        <v>W</v>
      </c>
      <c r="L18" s="41">
        <v>14</v>
      </c>
      <c r="M18" s="41" t="str">
        <f t="shared" si="7"/>
        <v>W</v>
      </c>
      <c r="N18" s="41">
        <v>17</v>
      </c>
      <c r="O18" s="293" t="str">
        <f t="shared" si="8"/>
        <v>W</v>
      </c>
      <c r="P18" s="43">
        <v>38</v>
      </c>
      <c r="Q18" s="43" t="str">
        <f t="shared" si="9"/>
        <v>W</v>
      </c>
      <c r="R18" s="43">
        <v>10</v>
      </c>
      <c r="S18" s="43" t="str">
        <f t="shared" si="10"/>
        <v>W</v>
      </c>
      <c r="T18" s="43">
        <v>26</v>
      </c>
      <c r="U18" s="43" t="str">
        <f t="shared" si="11"/>
        <v>W</v>
      </c>
      <c r="V18" s="44"/>
      <c r="W18" s="44"/>
      <c r="X18" s="44"/>
      <c r="Y18" s="44"/>
      <c r="Z18" s="44">
        <v>10</v>
      </c>
      <c r="AA18" s="44" t="str">
        <f t="shared" si="12"/>
        <v>W</v>
      </c>
      <c r="AB18" s="99">
        <v>21</v>
      </c>
      <c r="AC18" s="99" t="str">
        <f t="shared" si="13"/>
        <v>W</v>
      </c>
      <c r="AD18" s="294">
        <v>73</v>
      </c>
      <c r="AE18" s="99" t="str">
        <f t="shared" si="23"/>
        <v>B</v>
      </c>
      <c r="AF18" s="100">
        <f t="shared" si="15"/>
        <v>290</v>
      </c>
      <c r="AG18" s="101">
        <f t="shared" si="16"/>
        <v>24.1666666666667</v>
      </c>
      <c r="AH18" s="100">
        <f t="shared" si="17"/>
        <v>19</v>
      </c>
      <c r="AI18" s="36">
        <f t="shared" si="18"/>
        <v>0</v>
      </c>
      <c r="AJ18" s="36">
        <f t="shared" si="0"/>
        <v>1</v>
      </c>
      <c r="AK18" s="36">
        <f t="shared" si="1"/>
        <v>0</v>
      </c>
      <c r="AL18" s="36">
        <f t="shared" si="2"/>
        <v>0</v>
      </c>
      <c r="AM18" s="36">
        <f t="shared" si="19"/>
        <v>11</v>
      </c>
      <c r="AN18" s="37">
        <f t="shared" si="20"/>
        <v>0</v>
      </c>
    </row>
    <row r="19" s="2" customFormat="1" ht="16.15" customHeight="1" spans="1:40">
      <c r="A19" s="24">
        <v>13</v>
      </c>
      <c r="B19" s="276" t="s">
        <v>333</v>
      </c>
      <c r="C19" s="236" t="s">
        <v>321</v>
      </c>
      <c r="D19" s="41">
        <v>39</v>
      </c>
      <c r="E19" s="28" t="str">
        <f t="shared" si="3"/>
        <v>W</v>
      </c>
      <c r="F19" s="41">
        <v>13</v>
      </c>
      <c r="G19" s="49" t="str">
        <f t="shared" si="4"/>
        <v>W</v>
      </c>
      <c r="H19" s="41">
        <v>23</v>
      </c>
      <c r="I19" s="41" t="str">
        <f t="shared" si="21"/>
        <v>W</v>
      </c>
      <c r="J19" s="41">
        <v>18</v>
      </c>
      <c r="K19" s="41" t="str">
        <f t="shared" si="6"/>
        <v>W</v>
      </c>
      <c r="L19" s="46" t="s">
        <v>29</v>
      </c>
      <c r="M19" s="46" t="s">
        <v>29</v>
      </c>
      <c r="N19" s="41">
        <v>13</v>
      </c>
      <c r="O19" s="293" t="str">
        <f t="shared" si="8"/>
        <v>W</v>
      </c>
      <c r="P19" s="43">
        <v>49</v>
      </c>
      <c r="Q19" s="43" t="str">
        <f t="shared" si="9"/>
        <v>S</v>
      </c>
      <c r="R19" s="42" t="s">
        <v>29</v>
      </c>
      <c r="S19" s="42" t="s">
        <v>29</v>
      </c>
      <c r="T19" s="43">
        <v>2</v>
      </c>
      <c r="U19" s="43" t="str">
        <f t="shared" si="11"/>
        <v>W</v>
      </c>
      <c r="V19" s="44"/>
      <c r="W19" s="44"/>
      <c r="X19" s="44"/>
      <c r="Y19" s="44"/>
      <c r="Z19" s="44">
        <v>13</v>
      </c>
      <c r="AA19" s="44" t="str">
        <f t="shared" si="12"/>
        <v>W</v>
      </c>
      <c r="AB19" s="304" t="s">
        <v>29</v>
      </c>
      <c r="AC19" s="304" t="s">
        <v>29</v>
      </c>
      <c r="AD19" s="99">
        <v>51</v>
      </c>
      <c r="AE19" s="99" t="str">
        <f t="shared" si="23"/>
        <v>C</v>
      </c>
      <c r="AF19" s="100">
        <f t="shared" si="15"/>
        <v>221</v>
      </c>
      <c r="AG19" s="101">
        <f t="shared" si="16"/>
        <v>18.4166666666667</v>
      </c>
      <c r="AH19" s="100">
        <f t="shared" si="17"/>
        <v>22</v>
      </c>
      <c r="AI19" s="36">
        <f t="shared" si="18"/>
        <v>0</v>
      </c>
      <c r="AJ19" s="36">
        <f t="shared" si="0"/>
        <v>0</v>
      </c>
      <c r="AK19" s="36">
        <f t="shared" si="1"/>
        <v>1</v>
      </c>
      <c r="AL19" s="36">
        <f t="shared" si="2"/>
        <v>1</v>
      </c>
      <c r="AM19" s="36">
        <f t="shared" si="19"/>
        <v>7</v>
      </c>
      <c r="AN19" s="37">
        <f t="shared" si="20"/>
        <v>3</v>
      </c>
    </row>
    <row r="20" s="2" customFormat="1" ht="16.15" customHeight="1" spans="1:40">
      <c r="A20" s="295">
        <v>14</v>
      </c>
      <c r="B20" s="305" t="s">
        <v>334</v>
      </c>
      <c r="C20" s="297" t="s">
        <v>321</v>
      </c>
      <c r="D20" s="298" t="s">
        <v>29</v>
      </c>
      <c r="E20" s="298" t="s">
        <v>29</v>
      </c>
      <c r="F20" s="298" t="s">
        <v>29</v>
      </c>
      <c r="G20" s="298" t="s">
        <v>29</v>
      </c>
      <c r="H20" s="298" t="s">
        <v>29</v>
      </c>
      <c r="I20" s="298" t="s">
        <v>29</v>
      </c>
      <c r="J20" s="298" t="s">
        <v>29</v>
      </c>
      <c r="K20" s="298" t="s">
        <v>29</v>
      </c>
      <c r="L20" s="298" t="s">
        <v>29</v>
      </c>
      <c r="M20" s="298" t="s">
        <v>29</v>
      </c>
      <c r="N20" s="298" t="s">
        <v>29</v>
      </c>
      <c r="O20" s="298" t="s">
        <v>29</v>
      </c>
      <c r="P20" s="306" t="s">
        <v>29</v>
      </c>
      <c r="Q20" s="306" t="s">
        <v>29</v>
      </c>
      <c r="R20" s="306" t="s">
        <v>29</v>
      </c>
      <c r="S20" s="306" t="s">
        <v>29</v>
      </c>
      <c r="T20" s="306" t="s">
        <v>29</v>
      </c>
      <c r="U20" s="306" t="s">
        <v>29</v>
      </c>
      <c r="V20" s="306" t="s">
        <v>29</v>
      </c>
      <c r="W20" s="306" t="s">
        <v>29</v>
      </c>
      <c r="X20" s="306" t="s">
        <v>29</v>
      </c>
      <c r="Y20" s="306" t="s">
        <v>29</v>
      </c>
      <c r="Z20" s="306" t="s">
        <v>29</v>
      </c>
      <c r="AA20" s="306" t="s">
        <v>29</v>
      </c>
      <c r="AB20" s="306" t="s">
        <v>29</v>
      </c>
      <c r="AC20" s="306" t="s">
        <v>29</v>
      </c>
      <c r="AD20" s="306" t="s">
        <v>29</v>
      </c>
      <c r="AE20" s="306" t="s">
        <v>29</v>
      </c>
      <c r="AF20" s="300">
        <f t="shared" si="15"/>
        <v>0</v>
      </c>
      <c r="AG20" s="301">
        <f t="shared" si="16"/>
        <v>0</v>
      </c>
      <c r="AH20" s="300">
        <f t="shared" si="17"/>
        <v>26</v>
      </c>
      <c r="AI20" s="307">
        <f t="shared" si="18"/>
        <v>0</v>
      </c>
      <c r="AJ20" s="307">
        <f t="shared" si="0"/>
        <v>0</v>
      </c>
      <c r="AK20" s="307">
        <f t="shared" si="1"/>
        <v>0</v>
      </c>
      <c r="AL20" s="307">
        <f t="shared" si="2"/>
        <v>0</v>
      </c>
      <c r="AM20" s="307">
        <f t="shared" si="19"/>
        <v>0</v>
      </c>
      <c r="AN20" s="308">
        <f t="shared" si="20"/>
        <v>14</v>
      </c>
    </row>
    <row r="21" s="285" customFormat="1" ht="16.15" customHeight="1" spans="1:40">
      <c r="A21" s="39">
        <v>15</v>
      </c>
      <c r="B21" s="276" t="s">
        <v>335</v>
      </c>
      <c r="C21" s="236" t="s">
        <v>321</v>
      </c>
      <c r="D21" s="41">
        <v>27</v>
      </c>
      <c r="E21" s="28" t="str">
        <f t="shared" si="3"/>
        <v>W</v>
      </c>
      <c r="F21" s="41">
        <v>10</v>
      </c>
      <c r="G21" s="49" t="str">
        <f t="shared" si="4"/>
        <v>W</v>
      </c>
      <c r="H21" s="41">
        <v>43</v>
      </c>
      <c r="I21" s="41" t="str">
        <f t="shared" si="21"/>
        <v>S</v>
      </c>
      <c r="J21" s="41">
        <v>33</v>
      </c>
      <c r="K21" s="41" t="str">
        <f t="shared" si="6"/>
        <v>W</v>
      </c>
      <c r="L21" s="49">
        <v>31</v>
      </c>
      <c r="M21" s="41" t="str">
        <f t="shared" si="7"/>
        <v>W</v>
      </c>
      <c r="N21" s="41">
        <v>27</v>
      </c>
      <c r="O21" s="293" t="str">
        <f t="shared" si="8"/>
        <v>W</v>
      </c>
      <c r="P21" s="43">
        <v>55</v>
      </c>
      <c r="Q21" s="43" t="str">
        <f t="shared" si="9"/>
        <v>C</v>
      </c>
      <c r="R21" s="43">
        <v>33</v>
      </c>
      <c r="S21" s="43" t="str">
        <f t="shared" si="10"/>
        <v>W</v>
      </c>
      <c r="T21" s="43">
        <v>36</v>
      </c>
      <c r="U21" s="43" t="str">
        <f t="shared" si="11"/>
        <v>W</v>
      </c>
      <c r="V21" s="44">
        <v>30</v>
      </c>
      <c r="W21" s="44" t="str">
        <f t="shared" si="22"/>
        <v>W</v>
      </c>
      <c r="X21" s="44"/>
      <c r="Y21" s="44"/>
      <c r="Z21" s="44"/>
      <c r="AA21" s="44"/>
      <c r="AB21" s="99">
        <v>55</v>
      </c>
      <c r="AC21" s="99" t="str">
        <f t="shared" si="13"/>
        <v>C</v>
      </c>
      <c r="AD21" s="99">
        <v>93</v>
      </c>
      <c r="AE21" s="99" t="str">
        <f t="shared" si="23"/>
        <v>A</v>
      </c>
      <c r="AF21" s="100">
        <f t="shared" si="15"/>
        <v>473</v>
      </c>
      <c r="AG21" s="101">
        <f t="shared" si="16"/>
        <v>39.4166666666667</v>
      </c>
      <c r="AH21" s="100">
        <f t="shared" si="17"/>
        <v>11</v>
      </c>
      <c r="AI21" s="36">
        <f t="shared" si="18"/>
        <v>1</v>
      </c>
      <c r="AJ21" s="36">
        <f t="shared" si="0"/>
        <v>0</v>
      </c>
      <c r="AK21" s="36">
        <f t="shared" si="1"/>
        <v>2</v>
      </c>
      <c r="AL21" s="36">
        <f t="shared" si="2"/>
        <v>1</v>
      </c>
      <c r="AM21" s="36">
        <f t="shared" si="19"/>
        <v>8</v>
      </c>
      <c r="AN21" s="37">
        <f t="shared" si="20"/>
        <v>0</v>
      </c>
    </row>
    <row r="22" s="2" customFormat="1" ht="16.15" customHeight="1" spans="1:40">
      <c r="A22" s="24">
        <v>16</v>
      </c>
      <c r="B22" s="276" t="s">
        <v>336</v>
      </c>
      <c r="C22" s="236" t="s">
        <v>321</v>
      </c>
      <c r="D22" s="41">
        <v>51</v>
      </c>
      <c r="E22" s="28" t="str">
        <f t="shared" si="3"/>
        <v>C</v>
      </c>
      <c r="F22" s="41">
        <v>11</v>
      </c>
      <c r="G22" s="49" t="str">
        <f t="shared" si="4"/>
        <v>W</v>
      </c>
      <c r="H22" s="41">
        <v>17</v>
      </c>
      <c r="I22" s="41" t="str">
        <f t="shared" si="21"/>
        <v>W</v>
      </c>
      <c r="J22" s="41">
        <v>56</v>
      </c>
      <c r="K22" s="41" t="str">
        <f t="shared" si="6"/>
        <v>C</v>
      </c>
      <c r="L22" s="41">
        <v>27</v>
      </c>
      <c r="M22" s="41" t="str">
        <f t="shared" si="7"/>
        <v>W</v>
      </c>
      <c r="N22" s="49">
        <v>26</v>
      </c>
      <c r="O22" s="293" t="str">
        <f t="shared" si="8"/>
        <v>W</v>
      </c>
      <c r="P22" s="43">
        <v>27</v>
      </c>
      <c r="Q22" s="43" t="str">
        <f t="shared" si="9"/>
        <v>W</v>
      </c>
      <c r="R22" s="43">
        <v>29</v>
      </c>
      <c r="S22" s="43" t="str">
        <f t="shared" si="10"/>
        <v>W</v>
      </c>
      <c r="T22" s="43">
        <v>24</v>
      </c>
      <c r="U22" s="43" t="str">
        <f t="shared" si="11"/>
        <v>W</v>
      </c>
      <c r="V22" s="44"/>
      <c r="W22" s="44"/>
      <c r="X22" s="44"/>
      <c r="Y22" s="44"/>
      <c r="Z22" s="44">
        <v>59</v>
      </c>
      <c r="AA22" s="44" t="str">
        <f t="shared" si="12"/>
        <v>C</v>
      </c>
      <c r="AB22" s="99">
        <v>24</v>
      </c>
      <c r="AC22" s="99" t="str">
        <f t="shared" si="13"/>
        <v>W</v>
      </c>
      <c r="AD22" s="99">
        <v>73</v>
      </c>
      <c r="AE22" s="99" t="str">
        <f t="shared" si="23"/>
        <v>B</v>
      </c>
      <c r="AF22" s="100">
        <f t="shared" si="15"/>
        <v>424</v>
      </c>
      <c r="AG22" s="101">
        <f t="shared" si="16"/>
        <v>35.3333333333333</v>
      </c>
      <c r="AH22" s="100">
        <f t="shared" si="17"/>
        <v>14</v>
      </c>
      <c r="AI22" s="36">
        <f t="shared" si="18"/>
        <v>0</v>
      </c>
      <c r="AJ22" s="36">
        <f t="shared" si="0"/>
        <v>1</v>
      </c>
      <c r="AK22" s="36">
        <f t="shared" si="1"/>
        <v>3</v>
      </c>
      <c r="AL22" s="36">
        <f t="shared" si="2"/>
        <v>0</v>
      </c>
      <c r="AM22" s="36">
        <f t="shared" si="19"/>
        <v>8</v>
      </c>
      <c r="AN22" s="37">
        <f t="shared" si="20"/>
        <v>0</v>
      </c>
    </row>
    <row r="23" s="2" customFormat="1" ht="16.15" customHeight="1" spans="1:40">
      <c r="A23" s="24">
        <v>17</v>
      </c>
      <c r="B23" s="276" t="s">
        <v>337</v>
      </c>
      <c r="C23" s="236" t="s">
        <v>321</v>
      </c>
      <c r="D23" s="41">
        <v>27</v>
      </c>
      <c r="E23" s="28" t="str">
        <f t="shared" si="3"/>
        <v>W</v>
      </c>
      <c r="F23" s="41">
        <v>10</v>
      </c>
      <c r="G23" s="49" t="str">
        <f t="shared" si="4"/>
        <v>W</v>
      </c>
      <c r="H23" s="41">
        <v>30</v>
      </c>
      <c r="I23" s="41" t="str">
        <f t="shared" si="21"/>
        <v>W</v>
      </c>
      <c r="J23" s="41">
        <v>11</v>
      </c>
      <c r="K23" s="41" t="str">
        <f t="shared" si="6"/>
        <v>W</v>
      </c>
      <c r="L23" s="41">
        <v>12</v>
      </c>
      <c r="M23" s="41" t="str">
        <f t="shared" si="7"/>
        <v>W</v>
      </c>
      <c r="N23" s="41">
        <v>12</v>
      </c>
      <c r="O23" s="293" t="str">
        <f t="shared" si="8"/>
        <v>W</v>
      </c>
      <c r="P23" s="43">
        <v>26</v>
      </c>
      <c r="Q23" s="43" t="str">
        <f t="shared" si="9"/>
        <v>W</v>
      </c>
      <c r="R23" s="43">
        <v>17</v>
      </c>
      <c r="S23" s="43" t="str">
        <f t="shared" si="10"/>
        <v>W</v>
      </c>
      <c r="T23" s="43">
        <v>7</v>
      </c>
      <c r="U23" s="43" t="str">
        <f t="shared" si="11"/>
        <v>W</v>
      </c>
      <c r="V23" s="44">
        <v>31</v>
      </c>
      <c r="W23" s="44" t="str">
        <f t="shared" si="22"/>
        <v>W</v>
      </c>
      <c r="X23" s="44"/>
      <c r="Y23" s="44"/>
      <c r="Z23" s="44"/>
      <c r="AA23" s="44"/>
      <c r="AB23" s="99">
        <v>21</v>
      </c>
      <c r="AC23" s="99" t="str">
        <f t="shared" si="13"/>
        <v>W</v>
      </c>
      <c r="AD23" s="99">
        <v>80</v>
      </c>
      <c r="AE23" s="99" t="str">
        <f t="shared" si="23"/>
        <v>A</v>
      </c>
      <c r="AF23" s="100">
        <f t="shared" si="15"/>
        <v>284</v>
      </c>
      <c r="AG23" s="101">
        <f t="shared" si="16"/>
        <v>23.6666666666667</v>
      </c>
      <c r="AH23" s="100">
        <f t="shared" si="17"/>
        <v>20</v>
      </c>
      <c r="AI23" s="36">
        <f t="shared" si="18"/>
        <v>1</v>
      </c>
      <c r="AJ23" s="36">
        <f t="shared" si="0"/>
        <v>0</v>
      </c>
      <c r="AK23" s="36">
        <f t="shared" si="1"/>
        <v>0</v>
      </c>
      <c r="AL23" s="36">
        <f t="shared" si="2"/>
        <v>0</v>
      </c>
      <c r="AM23" s="36">
        <f t="shared" si="19"/>
        <v>11</v>
      </c>
      <c r="AN23" s="37">
        <f t="shared" si="20"/>
        <v>0</v>
      </c>
    </row>
    <row r="24" s="2" customFormat="1" ht="16.15" customHeight="1" spans="1:40">
      <c r="A24" s="39">
        <v>18</v>
      </c>
      <c r="B24" s="276" t="s">
        <v>338</v>
      </c>
      <c r="C24" s="236" t="s">
        <v>321</v>
      </c>
      <c r="D24" s="41">
        <v>66</v>
      </c>
      <c r="E24" s="28" t="str">
        <f t="shared" si="3"/>
        <v>B</v>
      </c>
      <c r="F24" s="41">
        <v>46</v>
      </c>
      <c r="G24" s="49" t="str">
        <f t="shared" si="4"/>
        <v>S</v>
      </c>
      <c r="H24" s="41">
        <v>57</v>
      </c>
      <c r="I24" s="41" t="str">
        <f t="shared" si="21"/>
        <v>C</v>
      </c>
      <c r="J24" s="41">
        <v>56</v>
      </c>
      <c r="K24" s="41" t="str">
        <f t="shared" si="6"/>
        <v>C</v>
      </c>
      <c r="L24" s="49">
        <v>53</v>
      </c>
      <c r="M24" s="41" t="str">
        <f t="shared" si="7"/>
        <v>C</v>
      </c>
      <c r="N24" s="41">
        <v>21</v>
      </c>
      <c r="O24" s="293" t="str">
        <f t="shared" si="8"/>
        <v>W</v>
      </c>
      <c r="P24" s="43">
        <v>67</v>
      </c>
      <c r="Q24" s="43" t="str">
        <f t="shared" si="9"/>
        <v>B</v>
      </c>
      <c r="R24" s="43">
        <v>40</v>
      </c>
      <c r="S24" s="43" t="str">
        <f t="shared" si="10"/>
        <v>S</v>
      </c>
      <c r="T24" s="43">
        <v>44</v>
      </c>
      <c r="U24" s="43" t="str">
        <f t="shared" si="11"/>
        <v>S</v>
      </c>
      <c r="V24" s="44"/>
      <c r="W24" s="44"/>
      <c r="X24" s="44">
        <v>84</v>
      </c>
      <c r="Y24" s="44" t="str">
        <f t="shared" ref="Y24:Y33" si="24">IF(X24&gt;=75,"A",IF(X24&gt;=65,"B",IF(X24&gt;=50,"C",IF(X24&gt;=40,"S","W"))))</f>
        <v>A</v>
      </c>
      <c r="Z24" s="44"/>
      <c r="AA24" s="44"/>
      <c r="AB24" s="99">
        <v>66</v>
      </c>
      <c r="AC24" s="99" t="str">
        <f t="shared" si="13"/>
        <v>B</v>
      </c>
      <c r="AD24" s="99">
        <v>83</v>
      </c>
      <c r="AE24" s="99" t="str">
        <f t="shared" si="23"/>
        <v>A</v>
      </c>
      <c r="AF24" s="100">
        <f t="shared" si="15"/>
        <v>683</v>
      </c>
      <c r="AG24" s="101">
        <f t="shared" si="16"/>
        <v>56.9166666666667</v>
      </c>
      <c r="AH24" s="100">
        <f t="shared" si="17"/>
        <v>4</v>
      </c>
      <c r="AI24" s="36">
        <f t="shared" si="18"/>
        <v>2</v>
      </c>
      <c r="AJ24" s="36">
        <f t="shared" si="0"/>
        <v>3</v>
      </c>
      <c r="AK24" s="36">
        <f t="shared" si="1"/>
        <v>3</v>
      </c>
      <c r="AL24" s="36">
        <f t="shared" si="2"/>
        <v>3</v>
      </c>
      <c r="AM24" s="36">
        <f t="shared" si="19"/>
        <v>1</v>
      </c>
      <c r="AN24" s="37">
        <f t="shared" si="20"/>
        <v>0</v>
      </c>
    </row>
    <row r="25" s="2" customFormat="1" ht="16.15" customHeight="1" spans="1:40">
      <c r="A25" s="24">
        <v>19</v>
      </c>
      <c r="B25" s="276" t="s">
        <v>339</v>
      </c>
      <c r="C25" s="236" t="s">
        <v>321</v>
      </c>
      <c r="D25" s="41">
        <v>79</v>
      </c>
      <c r="E25" s="28" t="str">
        <f t="shared" si="3"/>
        <v>A</v>
      </c>
      <c r="F25" s="41">
        <v>66</v>
      </c>
      <c r="G25" s="49" t="str">
        <f t="shared" si="4"/>
        <v>B</v>
      </c>
      <c r="H25" s="41">
        <v>86</v>
      </c>
      <c r="I25" s="41" t="str">
        <f t="shared" si="21"/>
        <v>A</v>
      </c>
      <c r="J25" s="41">
        <v>75</v>
      </c>
      <c r="K25" s="41" t="str">
        <f t="shared" si="6"/>
        <v>A</v>
      </c>
      <c r="L25" s="41">
        <v>75</v>
      </c>
      <c r="M25" s="41" t="str">
        <f t="shared" si="7"/>
        <v>A</v>
      </c>
      <c r="N25" s="41">
        <v>72</v>
      </c>
      <c r="O25" s="293" t="str">
        <f t="shared" si="8"/>
        <v>B</v>
      </c>
      <c r="P25" s="309">
        <v>84</v>
      </c>
      <c r="Q25" s="43" t="str">
        <f t="shared" si="9"/>
        <v>A</v>
      </c>
      <c r="R25" s="43">
        <v>75</v>
      </c>
      <c r="S25" s="43" t="str">
        <f t="shared" si="10"/>
        <v>A</v>
      </c>
      <c r="T25" s="43">
        <v>93</v>
      </c>
      <c r="U25" s="43" t="str">
        <f t="shared" si="11"/>
        <v>A</v>
      </c>
      <c r="V25" s="44"/>
      <c r="W25" s="44"/>
      <c r="X25" s="44">
        <v>87</v>
      </c>
      <c r="Y25" s="44" t="str">
        <f t="shared" si="24"/>
        <v>A</v>
      </c>
      <c r="Z25" s="44"/>
      <c r="AA25" s="44"/>
      <c r="AB25" s="99">
        <v>75</v>
      </c>
      <c r="AC25" s="99" t="str">
        <f t="shared" si="13"/>
        <v>A</v>
      </c>
      <c r="AD25" s="99">
        <v>85</v>
      </c>
      <c r="AE25" s="99" t="str">
        <f t="shared" si="23"/>
        <v>A</v>
      </c>
      <c r="AF25" s="100">
        <f t="shared" si="15"/>
        <v>952</v>
      </c>
      <c r="AG25" s="101">
        <f t="shared" si="16"/>
        <v>79.3333333333333</v>
      </c>
      <c r="AH25" s="100">
        <f t="shared" si="17"/>
        <v>1</v>
      </c>
      <c r="AI25" s="36">
        <f t="shared" si="18"/>
        <v>10</v>
      </c>
      <c r="AJ25" s="36">
        <f t="shared" si="0"/>
        <v>2</v>
      </c>
      <c r="AK25" s="36">
        <f t="shared" si="1"/>
        <v>0</v>
      </c>
      <c r="AL25" s="36">
        <f t="shared" si="2"/>
        <v>0</v>
      </c>
      <c r="AM25" s="36">
        <f t="shared" si="19"/>
        <v>0</v>
      </c>
      <c r="AN25" s="37">
        <f t="shared" si="20"/>
        <v>0</v>
      </c>
    </row>
    <row r="26" s="2" customFormat="1" ht="16.15" customHeight="1" spans="1:40">
      <c r="A26" s="24">
        <v>20</v>
      </c>
      <c r="B26" s="276" t="s">
        <v>340</v>
      </c>
      <c r="C26" s="236" t="s">
        <v>321</v>
      </c>
      <c r="D26" s="41">
        <v>64</v>
      </c>
      <c r="E26" s="28" t="str">
        <f t="shared" si="3"/>
        <v>C</v>
      </c>
      <c r="F26" s="49">
        <v>32</v>
      </c>
      <c r="G26" s="49" t="str">
        <f t="shared" si="4"/>
        <v>W</v>
      </c>
      <c r="H26" s="49">
        <v>84</v>
      </c>
      <c r="I26" s="41" t="str">
        <f t="shared" si="21"/>
        <v>A</v>
      </c>
      <c r="J26" s="49">
        <v>53</v>
      </c>
      <c r="K26" s="41" t="str">
        <f t="shared" si="6"/>
        <v>C</v>
      </c>
      <c r="L26" s="41">
        <v>30</v>
      </c>
      <c r="M26" s="41" t="str">
        <f t="shared" si="7"/>
        <v>W</v>
      </c>
      <c r="N26" s="41">
        <v>49</v>
      </c>
      <c r="O26" s="293" t="str">
        <f t="shared" si="8"/>
        <v>S</v>
      </c>
      <c r="P26" s="43">
        <v>79</v>
      </c>
      <c r="Q26" s="43" t="str">
        <f t="shared" si="9"/>
        <v>A</v>
      </c>
      <c r="R26" s="43">
        <v>32</v>
      </c>
      <c r="S26" s="43" t="str">
        <f t="shared" si="10"/>
        <v>W</v>
      </c>
      <c r="T26" s="43">
        <v>29</v>
      </c>
      <c r="U26" s="43" t="str">
        <f t="shared" si="11"/>
        <v>W</v>
      </c>
      <c r="V26" s="44"/>
      <c r="W26" s="44"/>
      <c r="X26" s="44">
        <v>89</v>
      </c>
      <c r="Y26" s="44" t="str">
        <f t="shared" si="24"/>
        <v>A</v>
      </c>
      <c r="Z26" s="44"/>
      <c r="AA26" s="44"/>
      <c r="AB26" s="99">
        <v>65</v>
      </c>
      <c r="AC26" s="99" t="str">
        <f t="shared" si="13"/>
        <v>B</v>
      </c>
      <c r="AD26" s="99">
        <v>88</v>
      </c>
      <c r="AE26" s="99" t="str">
        <f t="shared" si="23"/>
        <v>A</v>
      </c>
      <c r="AF26" s="100">
        <f t="shared" si="15"/>
        <v>694</v>
      </c>
      <c r="AG26" s="101">
        <f t="shared" si="16"/>
        <v>57.8333333333333</v>
      </c>
      <c r="AH26" s="100">
        <f t="shared" si="17"/>
        <v>3</v>
      </c>
      <c r="AI26" s="36">
        <f t="shared" si="18"/>
        <v>4</v>
      </c>
      <c r="AJ26" s="36">
        <f t="shared" si="0"/>
        <v>1</v>
      </c>
      <c r="AK26" s="36">
        <f t="shared" si="1"/>
        <v>2</v>
      </c>
      <c r="AL26" s="36">
        <f t="shared" si="2"/>
        <v>1</v>
      </c>
      <c r="AM26" s="36">
        <f t="shared" si="19"/>
        <v>4</v>
      </c>
      <c r="AN26" s="37">
        <f t="shared" si="20"/>
        <v>0</v>
      </c>
    </row>
    <row r="27" s="2" customFormat="1" ht="16.15" customHeight="1" spans="1:40">
      <c r="A27" s="39">
        <v>21</v>
      </c>
      <c r="B27" s="276" t="s">
        <v>341</v>
      </c>
      <c r="C27" s="236" t="s">
        <v>321</v>
      </c>
      <c r="D27" s="41">
        <v>62</v>
      </c>
      <c r="E27" s="28" t="str">
        <f t="shared" si="3"/>
        <v>C</v>
      </c>
      <c r="F27" s="49">
        <v>18</v>
      </c>
      <c r="G27" s="49" t="str">
        <f t="shared" si="4"/>
        <v>W</v>
      </c>
      <c r="H27" s="49">
        <v>76</v>
      </c>
      <c r="I27" s="41" t="str">
        <f t="shared" si="21"/>
        <v>A</v>
      </c>
      <c r="J27" s="49">
        <v>26</v>
      </c>
      <c r="K27" s="41" t="str">
        <f t="shared" si="6"/>
        <v>W</v>
      </c>
      <c r="L27" s="49">
        <v>32</v>
      </c>
      <c r="M27" s="41" t="str">
        <f t="shared" si="7"/>
        <v>W</v>
      </c>
      <c r="N27" s="41">
        <v>35</v>
      </c>
      <c r="O27" s="293" t="str">
        <f t="shared" si="8"/>
        <v>W</v>
      </c>
      <c r="P27" s="309">
        <v>75</v>
      </c>
      <c r="Q27" s="43" t="str">
        <f t="shared" si="9"/>
        <v>A</v>
      </c>
      <c r="R27" s="309">
        <v>35</v>
      </c>
      <c r="S27" s="43" t="str">
        <f t="shared" si="10"/>
        <v>W</v>
      </c>
      <c r="T27" s="43">
        <v>21</v>
      </c>
      <c r="U27" s="43" t="str">
        <f t="shared" si="11"/>
        <v>W</v>
      </c>
      <c r="V27" s="44"/>
      <c r="W27" s="44"/>
      <c r="X27" s="44">
        <v>72</v>
      </c>
      <c r="Y27" s="44" t="str">
        <f t="shared" si="24"/>
        <v>B</v>
      </c>
      <c r="Z27" s="44"/>
      <c r="AA27" s="44"/>
      <c r="AB27" s="99">
        <v>70</v>
      </c>
      <c r="AC27" s="99" t="str">
        <f t="shared" si="13"/>
        <v>B</v>
      </c>
      <c r="AD27" s="99">
        <v>90</v>
      </c>
      <c r="AE27" s="99" t="str">
        <f t="shared" si="23"/>
        <v>A</v>
      </c>
      <c r="AF27" s="100">
        <f t="shared" si="15"/>
        <v>612</v>
      </c>
      <c r="AG27" s="101">
        <f t="shared" si="16"/>
        <v>51</v>
      </c>
      <c r="AH27" s="100">
        <f t="shared" si="17"/>
        <v>6</v>
      </c>
      <c r="AI27" s="36">
        <f t="shared" si="18"/>
        <v>3</v>
      </c>
      <c r="AJ27" s="36">
        <f t="shared" si="0"/>
        <v>2</v>
      </c>
      <c r="AK27" s="36">
        <f t="shared" si="1"/>
        <v>1</v>
      </c>
      <c r="AL27" s="36">
        <f t="shared" si="2"/>
        <v>0</v>
      </c>
      <c r="AM27" s="36">
        <f t="shared" si="19"/>
        <v>6</v>
      </c>
      <c r="AN27" s="37">
        <f t="shared" si="20"/>
        <v>0</v>
      </c>
    </row>
    <row r="28" s="2" customFormat="1" ht="16.15" customHeight="1" spans="1:40">
      <c r="A28" s="24">
        <v>22</v>
      </c>
      <c r="B28" s="276" t="s">
        <v>342</v>
      </c>
      <c r="C28" s="236" t="s">
        <v>321</v>
      </c>
      <c r="D28" s="49">
        <v>14</v>
      </c>
      <c r="E28" s="28" t="str">
        <f t="shared" si="3"/>
        <v>W</v>
      </c>
      <c r="F28" s="49">
        <v>8</v>
      </c>
      <c r="G28" s="49" t="str">
        <f t="shared" si="4"/>
        <v>W</v>
      </c>
      <c r="H28" s="49">
        <v>15</v>
      </c>
      <c r="I28" s="41" t="str">
        <f t="shared" si="21"/>
        <v>W</v>
      </c>
      <c r="J28" s="49">
        <v>12</v>
      </c>
      <c r="K28" s="41" t="str">
        <f t="shared" si="6"/>
        <v>W</v>
      </c>
      <c r="L28" s="41">
        <v>10</v>
      </c>
      <c r="M28" s="41" t="str">
        <f t="shared" si="7"/>
        <v>W</v>
      </c>
      <c r="N28" s="41">
        <v>6</v>
      </c>
      <c r="O28" s="293" t="str">
        <f t="shared" si="8"/>
        <v>W</v>
      </c>
      <c r="P28" s="309">
        <v>8</v>
      </c>
      <c r="Q28" s="43" t="str">
        <f t="shared" si="9"/>
        <v>W</v>
      </c>
      <c r="R28" s="42" t="s">
        <v>29</v>
      </c>
      <c r="S28" s="42" t="s">
        <v>29</v>
      </c>
      <c r="T28" s="43">
        <v>2</v>
      </c>
      <c r="U28" s="43" t="str">
        <f t="shared" si="11"/>
        <v>W</v>
      </c>
      <c r="V28" s="44">
        <v>22</v>
      </c>
      <c r="W28" s="44" t="str">
        <f t="shared" si="22"/>
        <v>W</v>
      </c>
      <c r="X28" s="44"/>
      <c r="Y28" s="44"/>
      <c r="Z28" s="44"/>
      <c r="AA28" s="44"/>
      <c r="AB28" s="304" t="s">
        <v>29</v>
      </c>
      <c r="AC28" s="304" t="s">
        <v>29</v>
      </c>
      <c r="AD28" s="294">
        <v>55</v>
      </c>
      <c r="AE28" s="99" t="str">
        <f t="shared" si="23"/>
        <v>C</v>
      </c>
      <c r="AF28" s="100">
        <f t="shared" si="15"/>
        <v>152</v>
      </c>
      <c r="AG28" s="101">
        <f t="shared" si="16"/>
        <v>12.6666666666667</v>
      </c>
      <c r="AH28" s="100">
        <f t="shared" si="17"/>
        <v>25</v>
      </c>
      <c r="AI28" s="36">
        <f t="shared" si="18"/>
        <v>0</v>
      </c>
      <c r="AJ28" s="36">
        <f t="shared" si="0"/>
        <v>0</v>
      </c>
      <c r="AK28" s="36">
        <f t="shared" si="1"/>
        <v>1</v>
      </c>
      <c r="AL28" s="36">
        <f t="shared" si="2"/>
        <v>0</v>
      </c>
      <c r="AM28" s="36">
        <f t="shared" si="19"/>
        <v>9</v>
      </c>
      <c r="AN28" s="37">
        <f t="shared" si="20"/>
        <v>2</v>
      </c>
    </row>
    <row r="29" s="2" customFormat="1" ht="16.15" customHeight="1" spans="1:40">
      <c r="A29" s="24">
        <v>23</v>
      </c>
      <c r="B29" s="276" t="s">
        <v>343</v>
      </c>
      <c r="C29" s="236" t="s">
        <v>321</v>
      </c>
      <c r="D29" s="41">
        <v>65</v>
      </c>
      <c r="E29" s="28" t="str">
        <f t="shared" si="3"/>
        <v>B</v>
      </c>
      <c r="F29" s="49">
        <v>27</v>
      </c>
      <c r="G29" s="49" t="str">
        <f t="shared" si="4"/>
        <v>W</v>
      </c>
      <c r="H29" s="49">
        <v>82</v>
      </c>
      <c r="I29" s="41" t="str">
        <f t="shared" si="21"/>
        <v>A</v>
      </c>
      <c r="J29" s="49">
        <v>80</v>
      </c>
      <c r="K29" s="41" t="str">
        <f t="shared" si="6"/>
        <v>A</v>
      </c>
      <c r="L29" s="41">
        <v>45</v>
      </c>
      <c r="M29" s="41" t="str">
        <f t="shared" si="7"/>
        <v>S</v>
      </c>
      <c r="N29" s="41">
        <v>47</v>
      </c>
      <c r="O29" s="293" t="str">
        <f t="shared" si="8"/>
        <v>S</v>
      </c>
      <c r="P29" s="43">
        <v>77</v>
      </c>
      <c r="Q29" s="43" t="str">
        <f t="shared" si="9"/>
        <v>A</v>
      </c>
      <c r="R29" s="43">
        <v>74</v>
      </c>
      <c r="S29" s="43" t="str">
        <f t="shared" si="10"/>
        <v>B</v>
      </c>
      <c r="T29" s="43">
        <v>49</v>
      </c>
      <c r="U29" s="43" t="str">
        <f t="shared" si="11"/>
        <v>S</v>
      </c>
      <c r="V29" s="44"/>
      <c r="W29" s="44"/>
      <c r="X29" s="44">
        <v>90</v>
      </c>
      <c r="Y29" s="44" t="str">
        <f t="shared" si="24"/>
        <v>A</v>
      </c>
      <c r="Z29" s="86"/>
      <c r="AA29" s="44"/>
      <c r="AB29" s="99">
        <v>87</v>
      </c>
      <c r="AC29" s="99" t="str">
        <f t="shared" si="13"/>
        <v>A</v>
      </c>
      <c r="AD29" s="99">
        <v>87</v>
      </c>
      <c r="AE29" s="99" t="str">
        <f t="shared" si="23"/>
        <v>A</v>
      </c>
      <c r="AF29" s="100">
        <f t="shared" si="15"/>
        <v>810</v>
      </c>
      <c r="AG29" s="101">
        <f t="shared" si="16"/>
        <v>67.5</v>
      </c>
      <c r="AH29" s="100">
        <f t="shared" si="17"/>
        <v>2</v>
      </c>
      <c r="AI29" s="36">
        <f t="shared" si="18"/>
        <v>6</v>
      </c>
      <c r="AJ29" s="36">
        <f t="shared" si="0"/>
        <v>2</v>
      </c>
      <c r="AK29" s="36">
        <f t="shared" si="1"/>
        <v>0</v>
      </c>
      <c r="AL29" s="36">
        <f t="shared" si="2"/>
        <v>3</v>
      </c>
      <c r="AM29" s="36">
        <f t="shared" si="19"/>
        <v>1</v>
      </c>
      <c r="AN29" s="37">
        <f t="shared" si="20"/>
        <v>0</v>
      </c>
    </row>
    <row r="30" s="2" customFormat="1" ht="16.15" customHeight="1" spans="1:40">
      <c r="A30" s="39">
        <v>24</v>
      </c>
      <c r="B30" s="276" t="s">
        <v>344</v>
      </c>
      <c r="C30" s="236" t="s">
        <v>321</v>
      </c>
      <c r="D30" s="41">
        <v>40</v>
      </c>
      <c r="E30" s="28" t="str">
        <f t="shared" si="3"/>
        <v>S</v>
      </c>
      <c r="F30" s="49">
        <v>11</v>
      </c>
      <c r="G30" s="49" t="str">
        <f t="shared" si="4"/>
        <v>W</v>
      </c>
      <c r="H30" s="41">
        <v>37</v>
      </c>
      <c r="I30" s="41" t="str">
        <f t="shared" si="21"/>
        <v>W</v>
      </c>
      <c r="J30" s="49">
        <v>30</v>
      </c>
      <c r="K30" s="41" t="str">
        <f t="shared" si="6"/>
        <v>W</v>
      </c>
      <c r="L30" s="41">
        <v>22</v>
      </c>
      <c r="M30" s="41" t="str">
        <f t="shared" si="7"/>
        <v>W</v>
      </c>
      <c r="N30" s="41">
        <v>18</v>
      </c>
      <c r="O30" s="293" t="str">
        <f t="shared" si="8"/>
        <v>W</v>
      </c>
      <c r="P30" s="43">
        <v>25</v>
      </c>
      <c r="Q30" s="43" t="str">
        <f t="shared" si="9"/>
        <v>W</v>
      </c>
      <c r="R30" s="43">
        <v>35</v>
      </c>
      <c r="S30" s="43" t="str">
        <f t="shared" si="10"/>
        <v>W</v>
      </c>
      <c r="T30" s="43">
        <v>21</v>
      </c>
      <c r="U30" s="43" t="str">
        <f t="shared" si="11"/>
        <v>W</v>
      </c>
      <c r="V30" s="44"/>
      <c r="W30" s="44"/>
      <c r="X30" s="44">
        <v>56</v>
      </c>
      <c r="Y30" s="44" t="str">
        <f t="shared" si="24"/>
        <v>C</v>
      </c>
      <c r="Z30" s="44"/>
      <c r="AA30" s="44"/>
      <c r="AB30" s="99">
        <v>27</v>
      </c>
      <c r="AC30" s="99" t="str">
        <f t="shared" si="13"/>
        <v>W</v>
      </c>
      <c r="AD30" s="99">
        <v>83</v>
      </c>
      <c r="AE30" s="99" t="str">
        <f t="shared" si="23"/>
        <v>A</v>
      </c>
      <c r="AF30" s="100">
        <f t="shared" si="15"/>
        <v>405</v>
      </c>
      <c r="AG30" s="101">
        <f t="shared" si="16"/>
        <v>33.75</v>
      </c>
      <c r="AH30" s="100">
        <f t="shared" si="17"/>
        <v>15</v>
      </c>
      <c r="AI30" s="36">
        <f t="shared" si="18"/>
        <v>1</v>
      </c>
      <c r="AJ30" s="36">
        <f t="shared" si="0"/>
        <v>0</v>
      </c>
      <c r="AK30" s="36">
        <f t="shared" si="1"/>
        <v>1</v>
      </c>
      <c r="AL30" s="36">
        <f t="shared" si="2"/>
        <v>1</v>
      </c>
      <c r="AM30" s="36">
        <f t="shared" si="19"/>
        <v>9</v>
      </c>
      <c r="AN30" s="37">
        <f t="shared" si="20"/>
        <v>0</v>
      </c>
    </row>
    <row r="31" s="2" customFormat="1" ht="16.15" customHeight="1" spans="1:40">
      <c r="A31" s="24">
        <v>25</v>
      </c>
      <c r="B31" s="276" t="s">
        <v>345</v>
      </c>
      <c r="C31" s="236" t="s">
        <v>321</v>
      </c>
      <c r="D31" s="41">
        <v>38</v>
      </c>
      <c r="E31" s="28" t="str">
        <f t="shared" si="3"/>
        <v>W</v>
      </c>
      <c r="F31" s="41">
        <v>9</v>
      </c>
      <c r="G31" s="49" t="str">
        <f t="shared" si="4"/>
        <v>W</v>
      </c>
      <c r="H31" s="41">
        <v>47</v>
      </c>
      <c r="I31" s="41" t="str">
        <f t="shared" si="21"/>
        <v>S</v>
      </c>
      <c r="J31" s="49">
        <v>35</v>
      </c>
      <c r="K31" s="41" t="str">
        <f t="shared" si="6"/>
        <v>W</v>
      </c>
      <c r="L31" s="41">
        <v>19</v>
      </c>
      <c r="M31" s="41" t="str">
        <f t="shared" si="7"/>
        <v>W</v>
      </c>
      <c r="N31" s="41">
        <v>20</v>
      </c>
      <c r="O31" s="293" t="str">
        <f t="shared" si="8"/>
        <v>W</v>
      </c>
      <c r="P31" s="43">
        <v>39</v>
      </c>
      <c r="Q31" s="43" t="str">
        <f t="shared" si="9"/>
        <v>W</v>
      </c>
      <c r="R31" s="43">
        <v>35</v>
      </c>
      <c r="S31" s="43" t="str">
        <f t="shared" si="10"/>
        <v>W</v>
      </c>
      <c r="T31" s="43">
        <v>13</v>
      </c>
      <c r="U31" s="43" t="str">
        <f t="shared" si="11"/>
        <v>W</v>
      </c>
      <c r="V31" s="44">
        <v>22</v>
      </c>
      <c r="W31" s="44" t="str">
        <f t="shared" si="22"/>
        <v>W</v>
      </c>
      <c r="X31" s="44"/>
      <c r="Y31" s="44"/>
      <c r="Z31" s="44"/>
      <c r="AA31" s="44"/>
      <c r="AB31" s="99">
        <v>45</v>
      </c>
      <c r="AC31" s="99" t="str">
        <f t="shared" si="13"/>
        <v>S</v>
      </c>
      <c r="AD31" s="99">
        <v>70</v>
      </c>
      <c r="AE31" s="99" t="str">
        <f t="shared" si="23"/>
        <v>B</v>
      </c>
      <c r="AF31" s="100">
        <f t="shared" si="15"/>
        <v>392</v>
      </c>
      <c r="AG31" s="101">
        <f t="shared" si="16"/>
        <v>32.6666666666667</v>
      </c>
      <c r="AH31" s="100">
        <f t="shared" si="17"/>
        <v>17</v>
      </c>
      <c r="AI31" s="36">
        <f t="shared" si="18"/>
        <v>0</v>
      </c>
      <c r="AJ31" s="36">
        <f t="shared" si="0"/>
        <v>1</v>
      </c>
      <c r="AK31" s="36">
        <f t="shared" si="1"/>
        <v>0</v>
      </c>
      <c r="AL31" s="36">
        <f t="shared" si="2"/>
        <v>2</v>
      </c>
      <c r="AM31" s="36">
        <f t="shared" si="19"/>
        <v>9</v>
      </c>
      <c r="AN31" s="37">
        <f t="shared" si="20"/>
        <v>0</v>
      </c>
    </row>
    <row r="32" s="2" customFormat="1" ht="16.15" customHeight="1" spans="1:40">
      <c r="A32" s="24">
        <v>26</v>
      </c>
      <c r="B32" s="276" t="s">
        <v>346</v>
      </c>
      <c r="C32" s="236" t="s">
        <v>321</v>
      </c>
      <c r="D32" s="41">
        <v>59</v>
      </c>
      <c r="E32" s="28" t="str">
        <f t="shared" si="3"/>
        <v>C</v>
      </c>
      <c r="F32" s="41">
        <v>20</v>
      </c>
      <c r="G32" s="49" t="str">
        <f t="shared" si="4"/>
        <v>W</v>
      </c>
      <c r="H32" s="41">
        <v>39</v>
      </c>
      <c r="I32" s="41" t="str">
        <f t="shared" si="21"/>
        <v>W</v>
      </c>
      <c r="J32" s="41">
        <v>56</v>
      </c>
      <c r="K32" s="41" t="str">
        <f t="shared" si="6"/>
        <v>C</v>
      </c>
      <c r="L32" s="41">
        <v>36</v>
      </c>
      <c r="M32" s="41" t="str">
        <f t="shared" si="7"/>
        <v>W</v>
      </c>
      <c r="N32" s="41">
        <v>31</v>
      </c>
      <c r="O32" s="293" t="str">
        <f t="shared" si="8"/>
        <v>W</v>
      </c>
      <c r="P32" s="43">
        <v>58</v>
      </c>
      <c r="Q32" s="43" t="str">
        <f t="shared" si="9"/>
        <v>C</v>
      </c>
      <c r="R32" s="43">
        <v>32</v>
      </c>
      <c r="S32" s="43" t="str">
        <f t="shared" si="10"/>
        <v>W</v>
      </c>
      <c r="T32" s="43">
        <v>44</v>
      </c>
      <c r="U32" s="43" t="str">
        <f t="shared" si="11"/>
        <v>S</v>
      </c>
      <c r="V32" s="44"/>
      <c r="W32" s="44"/>
      <c r="X32" s="44">
        <v>73</v>
      </c>
      <c r="Y32" s="44" t="str">
        <f t="shared" si="24"/>
        <v>B</v>
      </c>
      <c r="Z32" s="44"/>
      <c r="AA32" s="44"/>
      <c r="AB32" s="99">
        <v>62</v>
      </c>
      <c r="AC32" s="99" t="str">
        <f t="shared" si="13"/>
        <v>C</v>
      </c>
      <c r="AD32" s="99">
        <v>85</v>
      </c>
      <c r="AE32" s="99" t="str">
        <f t="shared" si="23"/>
        <v>A</v>
      </c>
      <c r="AF32" s="100">
        <f t="shared" si="15"/>
        <v>595</v>
      </c>
      <c r="AG32" s="101">
        <f t="shared" si="16"/>
        <v>49.5833333333333</v>
      </c>
      <c r="AH32" s="100">
        <f t="shared" si="17"/>
        <v>7</v>
      </c>
      <c r="AI32" s="36">
        <f t="shared" si="18"/>
        <v>1</v>
      </c>
      <c r="AJ32" s="36">
        <f t="shared" si="0"/>
        <v>1</v>
      </c>
      <c r="AK32" s="36">
        <f t="shared" si="1"/>
        <v>4</v>
      </c>
      <c r="AL32" s="36">
        <f t="shared" si="2"/>
        <v>1</v>
      </c>
      <c r="AM32" s="36">
        <f t="shared" si="19"/>
        <v>5</v>
      </c>
      <c r="AN32" s="37">
        <f t="shared" si="20"/>
        <v>0</v>
      </c>
    </row>
    <row r="33" s="2" customFormat="1" ht="16.15" customHeight="1" spans="1:40">
      <c r="A33" s="39">
        <v>27</v>
      </c>
      <c r="B33" s="276" t="s">
        <v>347</v>
      </c>
      <c r="C33" s="236" t="s">
        <v>321</v>
      </c>
      <c r="D33" s="41">
        <v>50</v>
      </c>
      <c r="E33" s="28" t="str">
        <f t="shared" si="3"/>
        <v>C</v>
      </c>
      <c r="F33" s="49">
        <v>13</v>
      </c>
      <c r="G33" s="49" t="str">
        <f t="shared" si="4"/>
        <v>W</v>
      </c>
      <c r="H33" s="41">
        <v>38</v>
      </c>
      <c r="I33" s="41" t="str">
        <f t="shared" si="21"/>
        <v>W</v>
      </c>
      <c r="J33" s="41">
        <v>29</v>
      </c>
      <c r="K33" s="41" t="str">
        <f t="shared" si="6"/>
        <v>W</v>
      </c>
      <c r="L33" s="41">
        <v>20</v>
      </c>
      <c r="M33" s="41" t="str">
        <f t="shared" si="7"/>
        <v>W</v>
      </c>
      <c r="N33" s="41">
        <v>28</v>
      </c>
      <c r="O33" s="293" t="str">
        <f t="shared" si="8"/>
        <v>W</v>
      </c>
      <c r="P33" s="43">
        <v>44</v>
      </c>
      <c r="Q33" s="43" t="str">
        <f t="shared" si="9"/>
        <v>S</v>
      </c>
      <c r="R33" s="43">
        <v>44</v>
      </c>
      <c r="S33" s="43" t="str">
        <f t="shared" si="10"/>
        <v>S</v>
      </c>
      <c r="T33" s="43">
        <v>26</v>
      </c>
      <c r="U33" s="43" t="str">
        <f t="shared" si="11"/>
        <v>W</v>
      </c>
      <c r="V33" s="44"/>
      <c r="W33" s="44"/>
      <c r="X33" s="44">
        <v>51</v>
      </c>
      <c r="Y33" s="44" t="str">
        <f t="shared" si="24"/>
        <v>C</v>
      </c>
      <c r="Z33" s="44"/>
      <c r="AA33" s="44"/>
      <c r="AB33" s="99">
        <v>32</v>
      </c>
      <c r="AC33" s="99" t="str">
        <f t="shared" si="13"/>
        <v>W</v>
      </c>
      <c r="AD33" s="99">
        <v>84</v>
      </c>
      <c r="AE33" s="99" t="str">
        <f t="shared" si="23"/>
        <v>A</v>
      </c>
      <c r="AF33" s="100">
        <f t="shared" si="15"/>
        <v>459</v>
      </c>
      <c r="AG33" s="101">
        <f t="shared" si="16"/>
        <v>38.25</v>
      </c>
      <c r="AH33" s="100">
        <f t="shared" si="17"/>
        <v>12</v>
      </c>
      <c r="AI33" s="36">
        <f t="shared" si="18"/>
        <v>1</v>
      </c>
      <c r="AJ33" s="36">
        <f t="shared" si="0"/>
        <v>0</v>
      </c>
      <c r="AK33" s="36">
        <f t="shared" si="1"/>
        <v>2</v>
      </c>
      <c r="AL33" s="36">
        <f t="shared" si="2"/>
        <v>2</v>
      </c>
      <c r="AM33" s="36">
        <f t="shared" si="19"/>
        <v>7</v>
      </c>
      <c r="AN33" s="37">
        <f t="shared" si="20"/>
        <v>0</v>
      </c>
    </row>
    <row r="34" s="2" customFormat="1" ht="16.15" customHeight="1" spans="1:40">
      <c r="A34" s="53" t="s">
        <v>62</v>
      </c>
      <c r="B34" s="54"/>
      <c r="C34" s="55"/>
      <c r="D34" s="56"/>
      <c r="E34" s="57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8"/>
      <c r="AG34" s="58"/>
      <c r="AH34" s="58"/>
      <c r="AI34"/>
      <c r="AJ34"/>
      <c r="AK34"/>
      <c r="AL34"/>
      <c r="AM34" s="59"/>
      <c r="AN34" s="60"/>
    </row>
    <row r="35" ht="13.9" customHeight="1" spans="1:40">
      <c r="A35" s="53" t="s">
        <v>63</v>
      </c>
      <c r="B35" s="54"/>
      <c r="C35" s="61" t="s">
        <v>24</v>
      </c>
      <c r="D35" s="56"/>
      <c r="E35" s="62">
        <f>COUNTIF(E7:E33,"A")</f>
        <v>1</v>
      </c>
      <c r="F35" s="56"/>
      <c r="G35" s="63">
        <f>COUNTIF(G7:G33,"A")</f>
        <v>0</v>
      </c>
      <c r="H35" s="56"/>
      <c r="I35" s="63">
        <f>COUNTIF(I7:I33,"A")</f>
        <v>4</v>
      </c>
      <c r="J35" s="56"/>
      <c r="K35" s="63">
        <f>COUNTIF(K7:K33,"A")</f>
        <v>2</v>
      </c>
      <c r="L35" s="63"/>
      <c r="M35" s="63">
        <f>COUNTIF(M7:M33,"A")</f>
        <v>1</v>
      </c>
      <c r="N35" s="63"/>
      <c r="O35" s="63">
        <f>COUNTIF(O7:O33,"A")</f>
        <v>1</v>
      </c>
      <c r="P35" s="63"/>
      <c r="Q35" s="63">
        <f>COUNTIF(Q7:Q33,"A")</f>
        <v>5</v>
      </c>
      <c r="R35" s="56"/>
      <c r="S35" s="63">
        <f>COUNTIF(S7:S33,"A")</f>
        <v>2</v>
      </c>
      <c r="T35" s="56"/>
      <c r="U35" s="63">
        <f>COUNTIF(U7:U33,"A")</f>
        <v>1</v>
      </c>
      <c r="V35" s="56"/>
      <c r="W35" s="63">
        <f>COUNTIF(W7:W33,"A")</f>
        <v>0</v>
      </c>
      <c r="X35" s="56"/>
      <c r="Y35" s="63">
        <f>COUNTIF(Y7:Y33,"A")</f>
        <v>5</v>
      </c>
      <c r="Z35" s="56"/>
      <c r="AA35" s="63">
        <f>COUNTIF(AA7:AA33,"A")</f>
        <v>0</v>
      </c>
      <c r="AB35" s="56"/>
      <c r="AC35" s="63">
        <f>COUNTIF(AC7:AC33,"A")</f>
        <v>3</v>
      </c>
      <c r="AD35" s="56"/>
      <c r="AE35" s="63">
        <f>COUNTIF(AE7:AE33,"A")</f>
        <v>12</v>
      </c>
      <c r="AF35" s="64"/>
      <c r="AG35" s="64"/>
      <c r="AH35" s="64"/>
      <c r="AM35" s="59"/>
      <c r="AN35" s="60"/>
    </row>
    <row r="36" ht="13.9" customHeight="1" spans="1:40">
      <c r="A36" s="53" t="s">
        <v>64</v>
      </c>
      <c r="B36" s="54"/>
      <c r="C36" s="55" t="s">
        <v>25</v>
      </c>
      <c r="D36" s="56"/>
      <c r="E36" s="62">
        <f>COUNTIF(E7:E33,"B")</f>
        <v>3</v>
      </c>
      <c r="F36" s="56"/>
      <c r="G36" s="63">
        <f>COUNTIF(G7:G33,"B")</f>
        <v>1</v>
      </c>
      <c r="H36" s="56"/>
      <c r="I36" s="63">
        <f>COUNTIF(I7:I33,"B")</f>
        <v>1</v>
      </c>
      <c r="J36" s="56"/>
      <c r="K36" s="63">
        <f>COUNTIF(K7:K33,"B")</f>
        <v>0</v>
      </c>
      <c r="L36" s="56"/>
      <c r="M36" s="63">
        <f>COUNTIF(M7:M33,"B")</f>
        <v>0</v>
      </c>
      <c r="N36" s="56"/>
      <c r="O36" s="63">
        <f>COUNTIF(O7:O33,"B")</f>
        <v>1</v>
      </c>
      <c r="P36" s="56"/>
      <c r="Q36" s="63">
        <f>COUNTIF(Q7:Q33,"B")</f>
        <v>1</v>
      </c>
      <c r="R36" s="56"/>
      <c r="S36" s="63">
        <f>COUNTIF(S7:S33,"B")</f>
        <v>1</v>
      </c>
      <c r="T36" s="56"/>
      <c r="U36" s="63">
        <f>COUNTIF(U7:U33,"B")</f>
        <v>0</v>
      </c>
      <c r="V36" s="56"/>
      <c r="W36" s="63">
        <f>COUNTIF(W7:W33,"B")</f>
        <v>0</v>
      </c>
      <c r="X36" s="56"/>
      <c r="Y36" s="63">
        <f>COUNTIF(Y7:Y33,"B")</f>
        <v>2</v>
      </c>
      <c r="Z36" s="56"/>
      <c r="AA36" s="63">
        <f>COUNTIF(AA7:AA33,"B")</f>
        <v>1</v>
      </c>
      <c r="AB36" s="56"/>
      <c r="AC36" s="63">
        <f>COUNTIF(AC7:AC33,"B")</f>
        <v>4</v>
      </c>
      <c r="AD36" s="56"/>
      <c r="AE36" s="63">
        <f>COUNTIF(AE7:AE33,"B")</f>
        <v>8</v>
      </c>
      <c r="AF36" s="64"/>
      <c r="AG36" s="64"/>
      <c r="AH36" s="64"/>
    </row>
    <row r="37" ht="13.9" customHeight="1" spans="1:40">
      <c r="A37" s="53" t="s">
        <v>65</v>
      </c>
      <c r="B37" s="54"/>
      <c r="C37" s="55" t="s">
        <v>26</v>
      </c>
      <c r="D37" s="56"/>
      <c r="E37" s="62">
        <f>COUNTIF(E7:E33,"C")</f>
        <v>8</v>
      </c>
      <c r="F37" s="56"/>
      <c r="G37" s="63">
        <f>COUNTIF(G7:G33,"C")</f>
        <v>0</v>
      </c>
      <c r="H37" s="56"/>
      <c r="I37" s="63">
        <f>COUNTIF(I7:I33,"C")</f>
        <v>1</v>
      </c>
      <c r="J37" s="56"/>
      <c r="K37" s="63">
        <f>COUNTIF(K7:K33,"C")</f>
        <v>6</v>
      </c>
      <c r="L37" s="56"/>
      <c r="M37" s="63">
        <f>COUNTIF(M7:M33,"C")</f>
        <v>1</v>
      </c>
      <c r="N37" s="56"/>
      <c r="O37" s="63">
        <f>COUNTIF(O7:O33,"C")</f>
        <v>0</v>
      </c>
      <c r="P37" s="56"/>
      <c r="Q37" s="63">
        <f>COUNTIF(Q7:Q33,"C")</f>
        <v>5</v>
      </c>
      <c r="R37" s="56"/>
      <c r="S37" s="63">
        <f>COUNTIF(S7:S33,"C")</f>
        <v>0</v>
      </c>
      <c r="T37" s="56"/>
      <c r="U37" s="63">
        <f>COUNTIF(U7:U33,"C")</f>
        <v>0</v>
      </c>
      <c r="V37" s="56"/>
      <c r="W37" s="63">
        <f>COUNTIF(W7:W33,"C")</f>
        <v>2</v>
      </c>
      <c r="X37" s="56"/>
      <c r="Y37" s="63">
        <f>COUNTIF(Y7:Y33,"C")</f>
        <v>2</v>
      </c>
      <c r="Z37" s="56"/>
      <c r="AA37" s="63">
        <f>COUNTIF(AA7:AA33,"C")</f>
        <v>2</v>
      </c>
      <c r="AB37" s="56"/>
      <c r="AC37" s="63">
        <f>COUNTIF(AC7:AC33,"C")</f>
        <v>4</v>
      </c>
      <c r="AD37" s="56"/>
      <c r="AE37" s="63">
        <f>COUNTIF(AE7:AE33,"C")</f>
        <v>3</v>
      </c>
      <c r="AF37" s="64"/>
      <c r="AG37" s="64"/>
      <c r="AH37" s="64"/>
    </row>
    <row r="38" ht="13.9" customHeight="1" spans="1:40">
      <c r="A38" s="53" t="s">
        <v>66</v>
      </c>
      <c r="B38" s="54"/>
      <c r="C38" s="55" t="s">
        <v>27</v>
      </c>
      <c r="D38" s="56"/>
      <c r="E38" s="62">
        <f>COUNTIF(E7:E33,"S")</f>
        <v>4</v>
      </c>
      <c r="F38" s="56"/>
      <c r="G38" s="63">
        <f>COUNTIF(G7:G33,"S")</f>
        <v>1</v>
      </c>
      <c r="H38" s="56"/>
      <c r="I38" s="63">
        <f>COUNTIF(I7:I33,"S")</f>
        <v>6</v>
      </c>
      <c r="J38" s="56"/>
      <c r="K38" s="63">
        <f>COUNTIF(K7:K33,"S")</f>
        <v>0</v>
      </c>
      <c r="L38" s="56"/>
      <c r="M38" s="63">
        <f>COUNTIF(M7:M33,"S")</f>
        <v>2</v>
      </c>
      <c r="N38" s="56"/>
      <c r="O38" s="63">
        <f>COUNTIF(O7:O33,"S")</f>
        <v>3</v>
      </c>
      <c r="P38" s="56"/>
      <c r="Q38" s="63">
        <f>COUNTIF(Q7:Q33,"S")</f>
        <v>5</v>
      </c>
      <c r="R38" s="56"/>
      <c r="S38" s="63">
        <f>COUNTIF(S7:S33,"S")</f>
        <v>2</v>
      </c>
      <c r="T38" s="56"/>
      <c r="U38" s="63">
        <f>COUNTIF(U7:U33,"S")</f>
        <v>5</v>
      </c>
      <c r="V38" s="56"/>
      <c r="W38" s="63">
        <f>COUNTIF(W7:W33,"S")</f>
        <v>1</v>
      </c>
      <c r="X38" s="56"/>
      <c r="Y38" s="63">
        <f>COUNTIF(Y7:Y33,"S")</f>
        <v>0</v>
      </c>
      <c r="Z38" s="56"/>
      <c r="AA38" s="63">
        <f>COUNTIF(AA7:AA33,"S")</f>
        <v>0</v>
      </c>
      <c r="AB38" s="56"/>
      <c r="AC38" s="63">
        <f>COUNTIF(AC7:AC33,"S")</f>
        <v>4</v>
      </c>
      <c r="AD38" s="56"/>
      <c r="AE38" s="63">
        <f>COUNTIF(AE7:AE33,"S")</f>
        <v>2</v>
      </c>
      <c r="AF38" s="64"/>
      <c r="AG38" s="64"/>
      <c r="AH38" s="64"/>
    </row>
    <row r="39" ht="13.9" customHeight="1" spans="1:40">
      <c r="A39" s="53" t="s">
        <v>67</v>
      </c>
      <c r="B39" s="54"/>
      <c r="C39" s="55" t="s">
        <v>28</v>
      </c>
      <c r="D39" s="56"/>
      <c r="E39" s="62">
        <f>COUNTIF(E7:E33,"W")</f>
        <v>7</v>
      </c>
      <c r="F39" s="56"/>
      <c r="G39" s="63">
        <f>COUNTIF(G7:G33,"W")</f>
        <v>22</v>
      </c>
      <c r="H39" s="56"/>
      <c r="I39" s="63">
        <f>COUNTIF(I7:I33,"W")</f>
        <v>12</v>
      </c>
      <c r="J39" s="56"/>
      <c r="K39" s="63">
        <f>COUNTIF(K7:K33,"W")</f>
        <v>16</v>
      </c>
      <c r="L39" s="56"/>
      <c r="M39" s="63">
        <f>COUNTIF(M7:M33,"W")</f>
        <v>18</v>
      </c>
      <c r="N39" s="56"/>
      <c r="O39" s="63">
        <f>COUNTIF(O7:O33,"W")</f>
        <v>19</v>
      </c>
      <c r="P39" s="56"/>
      <c r="Q39" s="63">
        <f>COUNTIF(Q7:Q33,"W")</f>
        <v>7</v>
      </c>
      <c r="R39" s="56"/>
      <c r="S39" s="63">
        <f>COUNTIF(S7:S33,"W")</f>
        <v>18</v>
      </c>
      <c r="T39" s="56"/>
      <c r="U39" s="63">
        <f>COUNTIF(U7:U33,"W")</f>
        <v>18</v>
      </c>
      <c r="V39" s="56"/>
      <c r="W39" s="63">
        <f>COUNTIF(W7:W33,"W")</f>
        <v>4</v>
      </c>
      <c r="X39" s="56"/>
      <c r="Y39" s="63">
        <f>COUNTIF(Y7:Y33,"W")</f>
        <v>0</v>
      </c>
      <c r="Z39" s="56"/>
      <c r="AA39" s="63">
        <f>COUNTIF(AA7:AA33,"W")</f>
        <v>5</v>
      </c>
      <c r="AB39" s="56"/>
      <c r="AC39" s="63">
        <f>COUNTIF(AC7:AC33,"W")</f>
        <v>8</v>
      </c>
      <c r="AD39" s="56"/>
      <c r="AE39" s="63">
        <f>COUNTIF(AE7:AE33,"W")</f>
        <v>0</v>
      </c>
      <c r="AF39" s="64"/>
      <c r="AG39" s="64"/>
      <c r="AH39" s="64"/>
    </row>
    <row r="40" ht="13.9" customHeight="1" spans="1:40">
      <c r="A40" s="53"/>
      <c r="B40" s="54"/>
      <c r="C40" s="55" t="s">
        <v>29</v>
      </c>
      <c r="D40" s="56"/>
      <c r="E40" s="62">
        <f>COUNTIF(E7:E33,"AB")</f>
        <v>4</v>
      </c>
      <c r="F40" s="56"/>
      <c r="G40" s="63">
        <f>COUNTIF(G7:G33,"AB")</f>
        <v>3</v>
      </c>
      <c r="H40" s="56"/>
      <c r="I40" s="63">
        <f>COUNTIF(I7:I33,"AB")</f>
        <v>3</v>
      </c>
      <c r="J40" s="56"/>
      <c r="K40" s="63">
        <f>COUNTIF(K7:K33,"AB")</f>
        <v>3</v>
      </c>
      <c r="L40" s="56"/>
      <c r="M40" s="63">
        <f>COUNTIF(M7:M33,"AB")</f>
        <v>5</v>
      </c>
      <c r="N40" s="56"/>
      <c r="O40" s="63">
        <f>COUNTIF(O7:O33,"AB")</f>
        <v>3</v>
      </c>
      <c r="P40" s="56"/>
      <c r="Q40" s="63">
        <f>COUNTIF(Q7:Q33,"AB")</f>
        <v>4</v>
      </c>
      <c r="R40" s="56"/>
      <c r="S40" s="63">
        <f>COUNTIF(S7:S33,"AB")</f>
        <v>4</v>
      </c>
      <c r="T40" s="56"/>
      <c r="U40" s="63">
        <f>COUNTIF(U7:U33,"AB")</f>
        <v>3</v>
      </c>
      <c r="V40" s="56"/>
      <c r="W40" s="63">
        <f>COUNTIF(W7:W33,"AB")</f>
        <v>2</v>
      </c>
      <c r="X40" s="56"/>
      <c r="Y40" s="63">
        <f>COUNTIF(Y7:Y33,"AB")</f>
        <v>3</v>
      </c>
      <c r="Z40" s="56"/>
      <c r="AA40" s="63">
        <f>COUNTIF(AA7:AA33,"AB")</f>
        <v>2</v>
      </c>
      <c r="AB40" s="56"/>
      <c r="AC40" s="63">
        <f>COUNTIF(AC7:AC33,"AB")</f>
        <v>4</v>
      </c>
      <c r="AD40" s="56"/>
      <c r="AE40" s="63">
        <f>COUNTIF(AE7:AE33,"AB")</f>
        <v>2</v>
      </c>
      <c r="AF40" s="64"/>
      <c r="AG40" s="64"/>
      <c r="AH40" s="64"/>
    </row>
    <row r="41" ht="13.9" customHeight="1" spans="1:40">
      <c r="A41" s="53" t="s">
        <v>7</v>
      </c>
      <c r="B41" s="54"/>
      <c r="C41" s="55"/>
      <c r="D41" s="56"/>
      <c r="E41" s="54">
        <f>SUM(E35:E40)</f>
        <v>27</v>
      </c>
      <c r="F41" s="56"/>
      <c r="G41" s="156">
        <f>SUM(G35:G40)</f>
        <v>27</v>
      </c>
      <c r="H41" s="56"/>
      <c r="I41" s="156">
        <f>SUM(I35:I40)</f>
        <v>27</v>
      </c>
      <c r="J41" s="56"/>
      <c r="K41" s="156">
        <f>SUM(K35:K40)</f>
        <v>27</v>
      </c>
      <c r="L41" s="56"/>
      <c r="M41" s="156">
        <f>SUM(M35:M40)</f>
        <v>27</v>
      </c>
      <c r="N41" s="56"/>
      <c r="O41" s="156">
        <f>SUM(O35:O40)</f>
        <v>27</v>
      </c>
      <c r="P41" s="56"/>
      <c r="Q41" s="156">
        <f>SUM(Q35:Q40)</f>
        <v>27</v>
      </c>
      <c r="R41" s="56"/>
      <c r="S41" s="156">
        <f>SUM(S35:S40)</f>
        <v>27</v>
      </c>
      <c r="T41" s="56"/>
      <c r="U41" s="156">
        <f>SUM(U35:U40)</f>
        <v>27</v>
      </c>
      <c r="V41" s="56"/>
      <c r="W41" s="156">
        <f>SUM(W35:W40)</f>
        <v>9</v>
      </c>
      <c r="X41" s="56"/>
      <c r="Y41" s="156">
        <f>SUM(Y35:Y40)</f>
        <v>12</v>
      </c>
      <c r="Z41" s="56"/>
      <c r="AA41" s="156">
        <f>SUM(AA35:AA40)</f>
        <v>10</v>
      </c>
      <c r="AB41" s="56"/>
      <c r="AC41" s="156">
        <f>SUM(AC35:AC40)</f>
        <v>27</v>
      </c>
      <c r="AD41" s="56"/>
      <c r="AE41" s="156">
        <f>SUM(AE35:AE40)</f>
        <v>27</v>
      </c>
      <c r="AF41" s="70"/>
      <c r="AG41" s="70"/>
      <c r="AH41" s="70"/>
    </row>
    <row r="42" ht="13.9" customHeight="1" spans="1:40">
      <c r="A42" s="123"/>
      <c r="B42" s="287"/>
      <c r="C42" s="287"/>
    </row>
    <row r="43" ht="16.9" customHeight="1" spans="1:40">
      <c r="A43" s="123"/>
      <c r="B43" s="310"/>
      <c r="C43" s="310"/>
    </row>
    <row r="44" ht="16.9" customHeight="1"/>
    <row r="45" ht="16.9" customHeight="1"/>
    <row r="46" ht="16.9" customHeight="1"/>
    <row r="47" ht="16.9" customHeight="1"/>
    <row r="48" ht="16.9" customHeight="1"/>
  </sheetData>
  <mergeCells count="16">
    <mergeCell ref="A1:AN1"/>
    <mergeCell ref="A4:AM4"/>
    <mergeCell ref="D5:AE5"/>
    <mergeCell ref="AF5:AH5"/>
    <mergeCell ref="AI5:AN5"/>
    <mergeCell ref="A34:B34"/>
    <mergeCell ref="A35:B35"/>
    <mergeCell ref="A36:B36"/>
    <mergeCell ref="A37:B37"/>
    <mergeCell ref="A38:B38"/>
    <mergeCell ref="A39:B39"/>
    <mergeCell ref="A40:B40"/>
    <mergeCell ref="A41:B41"/>
    <mergeCell ref="A5:A6"/>
    <mergeCell ref="B5:B6"/>
    <mergeCell ref="C5:C6"/>
  </mergeCells>
  <pageMargins left="0.25" right="0.25" top="0.75" bottom="0.75" header="0.3" footer="0.3"/>
  <pageSetup paperSize="8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6"/>
  <sheetViews>
    <sheetView zoomScale="65" zoomScaleNormal="65" workbookViewId="0">
      <selection activeCell="J33" sqref="J33"/>
    </sheetView>
  </sheetViews>
  <sheetFormatPr defaultColWidth="9" defaultRowHeight="15.6"/>
  <cols>
    <col min="1" max="1" width="4.71296296296296" customWidth="1"/>
    <col min="2" max="2" width="39.712962962963" customWidth="1"/>
    <col min="3" max="3" width="3.57407407407407" customWidth="1"/>
    <col min="4" max="4" width="4.28703703703704" customWidth="1"/>
    <col min="5" max="5" width="3.71296296296296" customWidth="1"/>
    <col min="6" max="6" width="4.28703703703704" customWidth="1"/>
    <col min="7" max="7" width="3.71296296296296" customWidth="1"/>
    <col min="8" max="8" width="4.28703703703704" customWidth="1"/>
    <col min="9" max="9" width="3.42592592592593" customWidth="1"/>
    <col min="10" max="10" width="3.42592592592593" style="1" customWidth="1"/>
    <col min="11" max="11" width="4.42592592592593" customWidth="1"/>
    <col min="12" max="12" width="4.28703703703704" customWidth="1"/>
    <col min="13" max="13" width="3.42592592592593" customWidth="1"/>
    <col min="14" max="14" width="4.28703703703704" customWidth="1"/>
    <col min="15" max="15" width="3.57407407407407" customWidth="1"/>
    <col min="16" max="16" width="4.28703703703704" customWidth="1"/>
    <col min="17" max="17" width="3.71296296296296" customWidth="1"/>
    <col min="18" max="20" width="4.28703703703704" customWidth="1"/>
    <col min="21" max="21" width="3.28703703703704" customWidth="1"/>
    <col min="22" max="22" width="4.28703703703704" customWidth="1"/>
    <col min="23" max="23" width="3.28703703703704" customWidth="1"/>
    <col min="24" max="24" width="4.28703703703704" customWidth="1"/>
    <col min="25" max="25" width="3.85185185185185" customWidth="1"/>
    <col min="26" max="30" width="4.28703703703704" customWidth="1"/>
    <col min="31" max="31" width="8" customWidth="1"/>
    <col min="32" max="32" width="10" customWidth="1"/>
    <col min="33" max="33" width="5.85185185185185" customWidth="1"/>
    <col min="34" max="34" width="2.28703703703704" customWidth="1"/>
    <col min="35" max="35" width="2" customWidth="1"/>
    <col min="36" max="37" width="2.57407407407407" customWidth="1"/>
    <col min="38" max="38" width="3.28703703703704" customWidth="1"/>
    <col min="39" max="39" width="3.28703703703704" style="2" customWidth="1"/>
  </cols>
  <sheetData>
    <row r="1" ht="25.8" spans="1:39">
      <c r="A1" s="3" t="s">
        <v>348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21" spans="1:3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21" spans="1:39">
      <c r="A3" s="5" t="s">
        <v>349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customHeight="1" spans="1:39">
      <c r="A4" s="6" t="s">
        <v>3</v>
      </c>
      <c r="B4" s="7" t="s">
        <v>4</v>
      </c>
      <c r="C4" s="272" t="s">
        <v>6</v>
      </c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  <c r="AA4" s="273"/>
      <c r="AB4" s="273"/>
      <c r="AC4" s="273"/>
      <c r="AD4" s="274"/>
      <c r="AE4" s="275"/>
      <c r="AF4" s="275"/>
      <c r="AG4" s="275"/>
      <c r="AH4" s="11" t="s">
        <v>7</v>
      </c>
      <c r="AI4" s="12"/>
      <c r="AJ4" s="12"/>
      <c r="AK4" s="12"/>
      <c r="AL4" s="12"/>
      <c r="AM4" s="12"/>
    </row>
    <row r="5" ht="82.15" customHeight="1" spans="1:39">
      <c r="A5" s="6"/>
      <c r="B5" s="6"/>
      <c r="C5" s="14" t="s">
        <v>8</v>
      </c>
      <c r="D5" s="15"/>
      <c r="E5" s="14" t="s">
        <v>9</v>
      </c>
      <c r="F5" s="14"/>
      <c r="G5" s="14" t="s">
        <v>10</v>
      </c>
      <c r="H5" s="14"/>
      <c r="I5" s="14" t="s">
        <v>11</v>
      </c>
      <c r="J5" s="14"/>
      <c r="K5" s="14" t="s">
        <v>12</v>
      </c>
      <c r="L5" s="14"/>
      <c r="M5" s="14" t="s">
        <v>13</v>
      </c>
      <c r="N5" s="14"/>
      <c r="O5" s="16" t="s">
        <v>14</v>
      </c>
      <c r="P5" s="16"/>
      <c r="Q5" s="16" t="s">
        <v>15</v>
      </c>
      <c r="R5" s="16"/>
      <c r="S5" s="16" t="s">
        <v>16</v>
      </c>
      <c r="T5" s="16"/>
      <c r="U5" s="17" t="s">
        <v>17</v>
      </c>
      <c r="V5" s="17"/>
      <c r="W5" s="17" t="s">
        <v>18</v>
      </c>
      <c r="X5" s="17"/>
      <c r="Y5" s="17" t="s">
        <v>19</v>
      </c>
      <c r="Z5" s="92"/>
      <c r="AA5" s="93" t="s">
        <v>20</v>
      </c>
      <c r="AB5" s="93"/>
      <c r="AC5" s="93" t="s">
        <v>21</v>
      </c>
      <c r="AD5" s="93"/>
      <c r="AE5" s="18" t="s">
        <v>7</v>
      </c>
      <c r="AF5" s="18" t="s">
        <v>22</v>
      </c>
      <c r="AG5" s="18" t="s">
        <v>23</v>
      </c>
      <c r="AH5" s="19" t="s">
        <v>24</v>
      </c>
      <c r="AI5" s="20" t="s">
        <v>25</v>
      </c>
      <c r="AJ5" s="21" t="s">
        <v>26</v>
      </c>
      <c r="AK5" s="20" t="s">
        <v>27</v>
      </c>
      <c r="AL5" s="20" t="s">
        <v>28</v>
      </c>
      <c r="AM5" s="22" t="s">
        <v>29</v>
      </c>
    </row>
    <row r="6" s="2" customFormat="1" ht="16.9" customHeight="1" spans="1:39">
      <c r="A6" s="39">
        <v>1</v>
      </c>
      <c r="B6" s="276" t="s">
        <v>350</v>
      </c>
      <c r="C6" s="124">
        <v>40</v>
      </c>
      <c r="D6" s="54" t="str">
        <f>IF(C6&gt;=75,"A",IF(C6&gt;=65,"B",IF(C6&gt;=50,"C",IF(C6&gt;=40,"S","W"))))</f>
        <v>S</v>
      </c>
      <c r="E6" s="124">
        <v>5</v>
      </c>
      <c r="F6" s="277" t="str">
        <f>IF(E6&gt;=75,"A",IF(E6&gt;=65,"B",IF(E6&gt;=50,"C",IF(E6&gt;=40,"S","W"))))</f>
        <v>W</v>
      </c>
      <c r="G6" s="124">
        <v>24</v>
      </c>
      <c r="H6" s="156" t="str">
        <f>IF(G6&gt;=75,"A",IF(G6&gt;=65,"B",IF(G6&gt;=50,"C",IF(G6&gt;=40,"S","W"))))</f>
        <v>W</v>
      </c>
      <c r="I6" s="124">
        <v>17</v>
      </c>
      <c r="J6" s="124" t="str">
        <f>IF(I6&gt;=75,"A",IF(I6&gt;=65,"B",IF(I6&gt;=50,"C",IF(I6&gt;=40,"S","W"))))</f>
        <v>W</v>
      </c>
      <c r="K6" s="124">
        <v>11</v>
      </c>
      <c r="L6" s="124" t="str">
        <f>IF(K6&gt;=75,"A",IF(K6&gt;=65,"B",IF(K6&gt;=50,"C",IF(K6&gt;=40,"S","W"))))</f>
        <v>W</v>
      </c>
      <c r="M6" s="124">
        <v>33</v>
      </c>
      <c r="N6" s="124" t="str">
        <f>IF(M6&gt;=75,"A",IF(M6&gt;=65,"B",IF(M6&gt;=50,"C",IF(M6&gt;=40,"S","W"))))</f>
        <v>W</v>
      </c>
      <c r="O6" s="277">
        <v>69</v>
      </c>
      <c r="P6" s="277" t="str">
        <f>IF(O6&gt;=75,"A",IF(O6&gt;=65,"B",IF(O6&gt;=50,"C",IF(O6&gt;=40,"S","W"))))</f>
        <v>B</v>
      </c>
      <c r="Q6" s="124">
        <v>29</v>
      </c>
      <c r="R6" s="124" t="str">
        <f>IF(Q6&gt;=75,"A",IF(Q6&gt;=65,"B",IF(Q6&gt;=50,"C",IF(Q6&gt;=40,"S","W"))))</f>
        <v>W</v>
      </c>
      <c r="S6" s="124">
        <v>10</v>
      </c>
      <c r="T6" s="124" t="str">
        <f>IF(S6&gt;=75,"A",IF(S6&gt;=65,"B",IF(S6&gt;=50,"C",IF(S6&gt;=40,"S","W"))))</f>
        <v>W</v>
      </c>
      <c r="U6" s="100"/>
      <c r="V6" s="100"/>
      <c r="W6" s="100"/>
      <c r="X6" s="100"/>
      <c r="Y6" s="124">
        <v>32</v>
      </c>
      <c r="Z6" s="124" t="str">
        <f>IF(Y6&gt;=75,"A",IF(Y6&gt;=65,"B",IF(Y6&gt;=50,"C",IF(Y6&gt;=40,"S","W"))))</f>
        <v>W</v>
      </c>
      <c r="AA6" s="124">
        <v>33</v>
      </c>
      <c r="AB6" s="124" t="str">
        <f>IF(AA6&gt;=75,"A",IF(AA6&gt;=65,"B",IF(AA6&gt;=50,"C",IF(AA6&gt;=40,"S","W"))))</f>
        <v>W</v>
      </c>
      <c r="AC6" s="124">
        <v>50</v>
      </c>
      <c r="AD6" s="124" t="str">
        <f>IF(AC6&gt;=75,"A",IF(AC6&gt;=65,"B",IF(AC6&gt;=50,"C",IF(AC6&gt;=40,"S","W"))))</f>
        <v>C</v>
      </c>
      <c r="AE6" s="124">
        <f t="shared" ref="AE6:AE18" si="0">SUM(AC6,AA6,Y6,W6,U6,S6,Q6,O6,M6,K6,I6,G6,E6,C6)</f>
        <v>353</v>
      </c>
      <c r="AF6" s="278">
        <f>AVERAGE(AE6:AE32/12)</f>
        <v>29.4166666666667</v>
      </c>
      <c r="AG6" s="124">
        <f>RANK(AE6,$AE$6:$AE$32,0)</f>
        <v>20</v>
      </c>
      <c r="AH6" s="36">
        <f>COUNTIF(C6:AD6,"A")</f>
        <v>0</v>
      </c>
      <c r="AI6" s="36">
        <f>COUNTIF(C6:AD6,"B")</f>
        <v>1</v>
      </c>
      <c r="AJ6" s="36">
        <f>COUNTIF(C6:AD6,"C")</f>
        <v>1</v>
      </c>
      <c r="AK6" s="36">
        <f>COUNTIF(D6:AD6,"S")</f>
        <v>1</v>
      </c>
      <c r="AL6" s="36">
        <f t="shared" ref="AL6:AL20" si="1">COUNTIF(C6:AD6,"W")</f>
        <v>9</v>
      </c>
      <c r="AM6" s="37">
        <f>(COUNTIF(C6:AD6,"AB"))/2</f>
        <v>0</v>
      </c>
    </row>
    <row r="7" s="2" customFormat="1" ht="16.9" customHeight="1" spans="1:39">
      <c r="A7" s="24">
        <v>2</v>
      </c>
      <c r="B7" s="276" t="s">
        <v>351</v>
      </c>
      <c r="C7" s="277">
        <v>41</v>
      </c>
      <c r="D7" s="54" t="str">
        <f t="shared" ref="D7:D32" si="2">IF(C7&gt;=75,"A",IF(C7&gt;=65,"B",IF(C7&gt;=50,"C",IF(C7&gt;=40,"S","W"))))</f>
        <v>S</v>
      </c>
      <c r="E7" s="279" t="s">
        <v>29</v>
      </c>
      <c r="F7" s="279" t="s">
        <v>29</v>
      </c>
      <c r="G7" s="124">
        <v>48</v>
      </c>
      <c r="H7" s="156" t="str">
        <f t="shared" ref="H7:H32" si="3">IF(G7&gt;=75,"A",IF(G7&gt;=65,"B",IF(G7&gt;=50,"C",IF(G7&gt;=40,"S","W"))))</f>
        <v>S</v>
      </c>
      <c r="I7" s="124">
        <v>30</v>
      </c>
      <c r="J7" s="124" t="str">
        <f t="shared" ref="J7:J32" si="4">IF(I7&gt;=75,"A",IF(I7&gt;=65,"B",IF(I7&gt;=50,"C",IF(I7&gt;=40,"S","W"))))</f>
        <v>W</v>
      </c>
      <c r="K7" s="280" t="s">
        <v>29</v>
      </c>
      <c r="L7" s="280" t="s">
        <v>29</v>
      </c>
      <c r="M7" s="124">
        <v>24</v>
      </c>
      <c r="N7" s="124" t="str">
        <f t="shared" ref="N7:N31" si="5">IF(M7&gt;=75,"A",IF(M7&gt;=65,"B",IF(M7&gt;=50,"C",IF(M7&gt;=40,"S","W"))))</f>
        <v>W</v>
      </c>
      <c r="O7" s="277">
        <v>36</v>
      </c>
      <c r="P7" s="277" t="str">
        <f t="shared" ref="P7:P32" si="6">IF(O7&gt;=75,"A",IF(O7&gt;=65,"B",IF(O7&gt;=50,"C",IF(O7&gt;=40,"S","W"))))</f>
        <v>W</v>
      </c>
      <c r="Q7" s="124">
        <v>19</v>
      </c>
      <c r="R7" s="124" t="str">
        <f t="shared" ref="R7:R32" si="7">IF(Q7&gt;=75,"A",IF(Q7&gt;=65,"B",IF(Q7&gt;=50,"C",IF(Q7&gt;=40,"S","W"))))</f>
        <v>W</v>
      </c>
      <c r="S7" s="280" t="s">
        <v>29</v>
      </c>
      <c r="T7" s="280" t="s">
        <v>29</v>
      </c>
      <c r="U7" s="100"/>
      <c r="V7" s="100"/>
      <c r="W7" s="100"/>
      <c r="X7" s="100"/>
      <c r="Y7" s="124">
        <v>14</v>
      </c>
      <c r="Z7" s="124" t="str">
        <f t="shared" ref="Z7:Z25" si="8">IF(Y7&gt;=75,"A",IF(Y7&gt;=65,"B",IF(Y7&gt;=50,"C",IF(Y7&gt;=40,"S","W"))))</f>
        <v>W</v>
      </c>
      <c r="AA7" s="281">
        <v>47</v>
      </c>
      <c r="AB7" s="124" t="str">
        <f t="shared" ref="AB7:AB32" si="9">IF(AA7&gt;=75,"A",IF(AA7&gt;=65,"B",IF(AA7&gt;=50,"C",IF(AA7&gt;=40,"S","W"))))</f>
        <v>S</v>
      </c>
      <c r="AC7" s="124">
        <v>63</v>
      </c>
      <c r="AD7" s="124" t="str">
        <f t="shared" ref="AD7:AD32" si="10">IF(AC7&gt;=75,"A",IF(AC7&gt;=65,"B",IF(AC7&gt;=50,"C",IF(AC7&gt;=40,"S","W"))))</f>
        <v>C</v>
      </c>
      <c r="AE7" s="124">
        <f t="shared" si="0"/>
        <v>322</v>
      </c>
      <c r="AF7" s="278">
        <f t="shared" ref="AF7:AF32" si="11">AVERAGE(AE7:AE33/12)</f>
        <v>26.8333333333333</v>
      </c>
      <c r="AG7" s="124">
        <f t="shared" ref="AG7:AG32" si="12">RANK(AE7,$AE$6:$AE$32,0)</f>
        <v>24</v>
      </c>
      <c r="AH7" s="36">
        <f t="shared" ref="AH7:AH32" si="13">COUNTIF(C7:AD7,"A")</f>
        <v>0</v>
      </c>
      <c r="AI7" s="36">
        <f t="shared" ref="AI7:AI32" si="14">COUNTIF(C7:AD7,"B")</f>
        <v>0</v>
      </c>
      <c r="AJ7" s="36">
        <f t="shared" ref="AJ7:AJ32" si="15">COUNTIF(C7:AD7,"C")</f>
        <v>1</v>
      </c>
      <c r="AK7" s="36">
        <f t="shared" ref="AK7:AK32" si="16">COUNTIF(D7:AD7,"S")</f>
        <v>3</v>
      </c>
      <c r="AL7" s="36">
        <f t="shared" si="1"/>
        <v>5</v>
      </c>
      <c r="AM7" s="37">
        <f>(COUNTIF(C7:AD7,"AB"))/2</f>
        <v>3</v>
      </c>
    </row>
    <row r="8" s="2" customFormat="1" ht="16.9" customHeight="1" spans="1:39">
      <c r="A8" s="39">
        <v>3</v>
      </c>
      <c r="B8" s="276" t="s">
        <v>352</v>
      </c>
      <c r="C8" s="124">
        <v>32</v>
      </c>
      <c r="D8" s="54" t="str">
        <f t="shared" si="2"/>
        <v>W</v>
      </c>
      <c r="E8" s="124">
        <v>8</v>
      </c>
      <c r="F8" s="277" t="str">
        <f t="shared" ref="F8:F32" si="17">IF(E8&gt;=75,"A",IF(E8&gt;=65,"B",IF(E8&gt;=50,"C",IF(E8&gt;=40,"S","W"))))</f>
        <v>W</v>
      </c>
      <c r="G8" s="124">
        <v>30</v>
      </c>
      <c r="H8" s="156" t="str">
        <f t="shared" si="3"/>
        <v>W</v>
      </c>
      <c r="I8" s="124">
        <v>39</v>
      </c>
      <c r="J8" s="124" t="str">
        <f t="shared" si="4"/>
        <v>W</v>
      </c>
      <c r="K8" s="124">
        <v>38</v>
      </c>
      <c r="L8" s="124" t="str">
        <f t="shared" ref="L8:L32" si="18">IF(K8&gt;=75,"A",IF(K8&gt;=65,"B",IF(K8&gt;=50,"C",IF(K8&gt;=40,"S","W"))))</f>
        <v>W</v>
      </c>
      <c r="M8" s="124">
        <v>38</v>
      </c>
      <c r="N8" s="124" t="str">
        <f t="shared" si="5"/>
        <v>W</v>
      </c>
      <c r="O8" s="124">
        <v>45</v>
      </c>
      <c r="P8" s="277" t="str">
        <f t="shared" si="6"/>
        <v>S</v>
      </c>
      <c r="Q8" s="124">
        <v>35</v>
      </c>
      <c r="R8" s="124" t="str">
        <f t="shared" si="7"/>
        <v>W</v>
      </c>
      <c r="S8" s="124">
        <v>27</v>
      </c>
      <c r="T8" s="124" t="str">
        <f t="shared" ref="T8:T32" si="19">IF(S8&gt;=75,"A",IF(S8&gt;=65,"B",IF(S8&gt;=50,"C",IF(S8&gt;=40,"S","W"))))</f>
        <v>W</v>
      </c>
      <c r="U8" s="100"/>
      <c r="V8" s="100"/>
      <c r="W8" s="100"/>
      <c r="X8" s="100"/>
      <c r="Y8" s="124">
        <v>16</v>
      </c>
      <c r="Z8" s="124" t="str">
        <f t="shared" si="8"/>
        <v>W</v>
      </c>
      <c r="AA8" s="124">
        <v>59</v>
      </c>
      <c r="AB8" s="124" t="str">
        <f t="shared" si="9"/>
        <v>C</v>
      </c>
      <c r="AC8" s="124">
        <v>73</v>
      </c>
      <c r="AD8" s="124" t="str">
        <f t="shared" si="10"/>
        <v>B</v>
      </c>
      <c r="AE8" s="124">
        <f t="shared" si="0"/>
        <v>440</v>
      </c>
      <c r="AF8" s="278">
        <f t="shared" si="11"/>
        <v>36.6666666666667</v>
      </c>
      <c r="AG8" s="124">
        <f t="shared" si="12"/>
        <v>15</v>
      </c>
      <c r="AH8" s="47">
        <f t="shared" si="13"/>
        <v>0</v>
      </c>
      <c r="AI8" s="47">
        <f t="shared" si="14"/>
        <v>1</v>
      </c>
      <c r="AJ8" s="47">
        <f t="shared" si="15"/>
        <v>1</v>
      </c>
      <c r="AK8" s="47">
        <f t="shared" si="16"/>
        <v>1</v>
      </c>
      <c r="AL8" s="47">
        <f t="shared" si="1"/>
        <v>9</v>
      </c>
      <c r="AM8" s="37">
        <f t="shared" ref="AM8:AM32" si="20">(COUNTIF(C8:AD8,"AB"))/2</f>
        <v>0</v>
      </c>
    </row>
    <row r="9" s="2" customFormat="1" ht="16.9" customHeight="1" spans="1:39">
      <c r="A9" s="24">
        <v>4</v>
      </c>
      <c r="B9" s="276" t="s">
        <v>353</v>
      </c>
      <c r="C9" s="124">
        <v>20</v>
      </c>
      <c r="D9" s="54" t="str">
        <f t="shared" si="2"/>
        <v>W</v>
      </c>
      <c r="E9" s="124">
        <v>10</v>
      </c>
      <c r="F9" s="277" t="str">
        <f t="shared" si="17"/>
        <v>W</v>
      </c>
      <c r="G9" s="124">
        <v>37</v>
      </c>
      <c r="H9" s="156" t="str">
        <f t="shared" si="3"/>
        <v>W</v>
      </c>
      <c r="I9" s="124">
        <v>38</v>
      </c>
      <c r="J9" s="124" t="str">
        <f t="shared" si="4"/>
        <v>W</v>
      </c>
      <c r="K9" s="124">
        <v>19</v>
      </c>
      <c r="L9" s="124" t="str">
        <f t="shared" si="18"/>
        <v>W</v>
      </c>
      <c r="M9" s="124">
        <v>35</v>
      </c>
      <c r="N9" s="124" t="str">
        <f t="shared" si="5"/>
        <v>W</v>
      </c>
      <c r="O9" s="124">
        <v>24</v>
      </c>
      <c r="P9" s="277" t="str">
        <f t="shared" si="6"/>
        <v>W</v>
      </c>
      <c r="Q9" s="156">
        <v>23</v>
      </c>
      <c r="R9" s="124" t="str">
        <f t="shared" si="7"/>
        <v>W</v>
      </c>
      <c r="S9" s="124">
        <v>4</v>
      </c>
      <c r="T9" s="124" t="str">
        <f t="shared" si="19"/>
        <v>W</v>
      </c>
      <c r="U9" s="100"/>
      <c r="V9" s="100"/>
      <c r="W9" s="124">
        <v>52</v>
      </c>
      <c r="X9" s="124" t="str">
        <f>IF(W9&gt;=75,"A",IF(W9&gt;=65,"B",IF(W9&gt;=50,"C",IF(W9&gt;=40,"S","W"))))</f>
        <v>C</v>
      </c>
      <c r="Y9" s="100"/>
      <c r="Z9" s="282"/>
      <c r="AA9" s="124">
        <v>35</v>
      </c>
      <c r="AB9" s="124" t="str">
        <f t="shared" si="9"/>
        <v>W</v>
      </c>
      <c r="AC9" s="124">
        <v>60</v>
      </c>
      <c r="AD9" s="124" t="str">
        <f t="shared" si="10"/>
        <v>C</v>
      </c>
      <c r="AE9" s="124">
        <f t="shared" si="0"/>
        <v>357</v>
      </c>
      <c r="AF9" s="278">
        <f t="shared" si="11"/>
        <v>29.75</v>
      </c>
      <c r="AG9" s="124">
        <f t="shared" si="12"/>
        <v>19</v>
      </c>
      <c r="AH9" s="36">
        <f t="shared" si="13"/>
        <v>0</v>
      </c>
      <c r="AI9" s="36">
        <f t="shared" si="14"/>
        <v>0</v>
      </c>
      <c r="AJ9" s="36">
        <f t="shared" si="15"/>
        <v>2</v>
      </c>
      <c r="AK9" s="36">
        <f t="shared" si="16"/>
        <v>0</v>
      </c>
      <c r="AL9" s="36">
        <f t="shared" si="1"/>
        <v>10</v>
      </c>
      <c r="AM9" s="37">
        <f t="shared" si="20"/>
        <v>0</v>
      </c>
    </row>
    <row r="10" s="2" customFormat="1" ht="16.9" customHeight="1" spans="1:39">
      <c r="A10" s="39">
        <v>5</v>
      </c>
      <c r="B10" s="276" t="s">
        <v>354</v>
      </c>
      <c r="C10" s="124">
        <v>58</v>
      </c>
      <c r="D10" s="54" t="str">
        <f t="shared" si="2"/>
        <v>C</v>
      </c>
      <c r="E10" s="124">
        <v>21</v>
      </c>
      <c r="F10" s="277" t="str">
        <f t="shared" si="17"/>
        <v>W</v>
      </c>
      <c r="G10" s="124">
        <v>50</v>
      </c>
      <c r="H10" s="156" t="str">
        <f t="shared" si="3"/>
        <v>C</v>
      </c>
      <c r="I10" s="124">
        <v>45</v>
      </c>
      <c r="J10" s="124" t="str">
        <f t="shared" si="4"/>
        <v>S</v>
      </c>
      <c r="K10" s="124">
        <v>38</v>
      </c>
      <c r="L10" s="124" t="str">
        <f t="shared" si="18"/>
        <v>W</v>
      </c>
      <c r="M10" s="124">
        <v>37</v>
      </c>
      <c r="N10" s="124" t="str">
        <f t="shared" si="5"/>
        <v>W</v>
      </c>
      <c r="O10" s="124">
        <v>58</v>
      </c>
      <c r="P10" s="277" t="str">
        <f t="shared" si="6"/>
        <v>C</v>
      </c>
      <c r="Q10" s="124">
        <v>40</v>
      </c>
      <c r="R10" s="124" t="str">
        <f t="shared" si="7"/>
        <v>S</v>
      </c>
      <c r="S10" s="124">
        <v>14</v>
      </c>
      <c r="T10" s="124" t="str">
        <f t="shared" si="19"/>
        <v>W</v>
      </c>
      <c r="U10" s="100"/>
      <c r="V10" s="100"/>
      <c r="W10" s="124">
        <v>69</v>
      </c>
      <c r="X10" s="124" t="str">
        <f t="shared" ref="X10:X31" si="21">IF(W10&gt;=75,"A",IF(W10&gt;=65,"B",IF(W10&gt;=50,"C",IF(W10&gt;=40,"S","W"))))</f>
        <v>B</v>
      </c>
      <c r="Y10" s="100"/>
      <c r="Z10" s="282"/>
      <c r="AA10" s="124">
        <v>57</v>
      </c>
      <c r="AB10" s="124" t="str">
        <f t="shared" si="9"/>
        <v>C</v>
      </c>
      <c r="AC10" s="124">
        <v>79</v>
      </c>
      <c r="AD10" s="124" t="str">
        <f t="shared" si="10"/>
        <v>A</v>
      </c>
      <c r="AE10" s="124">
        <f t="shared" si="0"/>
        <v>566</v>
      </c>
      <c r="AF10" s="278">
        <f t="shared" si="11"/>
        <v>47.1666666666667</v>
      </c>
      <c r="AG10" s="124">
        <f t="shared" si="12"/>
        <v>9</v>
      </c>
      <c r="AH10" s="47">
        <f t="shared" si="13"/>
        <v>1</v>
      </c>
      <c r="AI10" s="47">
        <f t="shared" si="14"/>
        <v>1</v>
      </c>
      <c r="AJ10" s="47">
        <f t="shared" si="15"/>
        <v>4</v>
      </c>
      <c r="AK10" s="47">
        <f t="shared" si="16"/>
        <v>2</v>
      </c>
      <c r="AL10" s="47">
        <f t="shared" si="1"/>
        <v>4</v>
      </c>
      <c r="AM10" s="37">
        <f t="shared" si="20"/>
        <v>0</v>
      </c>
    </row>
    <row r="11" s="2" customFormat="1" ht="16.9" customHeight="1" spans="1:39">
      <c r="A11" s="24">
        <v>6</v>
      </c>
      <c r="B11" s="276" t="s">
        <v>355</v>
      </c>
      <c r="C11" s="124">
        <v>66</v>
      </c>
      <c r="D11" s="54" t="str">
        <f t="shared" si="2"/>
        <v>B</v>
      </c>
      <c r="E11" s="277">
        <v>33</v>
      </c>
      <c r="F11" s="277" t="str">
        <f t="shared" si="17"/>
        <v>W</v>
      </c>
      <c r="G11" s="124">
        <v>57</v>
      </c>
      <c r="H11" s="156" t="str">
        <f t="shared" si="3"/>
        <v>C</v>
      </c>
      <c r="I11" s="124">
        <v>39</v>
      </c>
      <c r="J11" s="124" t="str">
        <f t="shared" si="4"/>
        <v>W</v>
      </c>
      <c r="K11" s="124">
        <v>22</v>
      </c>
      <c r="L11" s="124" t="str">
        <f t="shared" si="18"/>
        <v>W</v>
      </c>
      <c r="M11" s="124">
        <v>48</v>
      </c>
      <c r="N11" s="124" t="str">
        <f t="shared" si="5"/>
        <v>S</v>
      </c>
      <c r="O11" s="277">
        <v>74</v>
      </c>
      <c r="P11" s="277" t="str">
        <f t="shared" si="6"/>
        <v>B</v>
      </c>
      <c r="Q11" s="124">
        <v>47</v>
      </c>
      <c r="R11" s="124" t="str">
        <f t="shared" si="7"/>
        <v>S</v>
      </c>
      <c r="S11" s="124">
        <v>19</v>
      </c>
      <c r="T11" s="124" t="str">
        <f t="shared" si="19"/>
        <v>W</v>
      </c>
      <c r="U11" s="100"/>
      <c r="V11" s="100"/>
      <c r="W11" s="100"/>
      <c r="X11" s="282"/>
      <c r="Y11" s="124">
        <v>64</v>
      </c>
      <c r="Z11" s="124" t="str">
        <f t="shared" si="8"/>
        <v>C</v>
      </c>
      <c r="AA11" s="124">
        <v>59</v>
      </c>
      <c r="AB11" s="124" t="str">
        <f t="shared" si="9"/>
        <v>C</v>
      </c>
      <c r="AC11" s="124">
        <v>76</v>
      </c>
      <c r="AD11" s="124" t="str">
        <f t="shared" si="10"/>
        <v>A</v>
      </c>
      <c r="AE11" s="124">
        <f t="shared" si="0"/>
        <v>604</v>
      </c>
      <c r="AF11" s="278">
        <f t="shared" si="11"/>
        <v>50.3333333333333</v>
      </c>
      <c r="AG11" s="124">
        <f t="shared" si="12"/>
        <v>7</v>
      </c>
      <c r="AH11" s="36">
        <f t="shared" si="13"/>
        <v>1</v>
      </c>
      <c r="AI11" s="36">
        <f t="shared" si="14"/>
        <v>2</v>
      </c>
      <c r="AJ11" s="36">
        <f t="shared" si="15"/>
        <v>3</v>
      </c>
      <c r="AK11" s="36">
        <f t="shared" si="16"/>
        <v>2</v>
      </c>
      <c r="AL11" s="36">
        <f t="shared" si="1"/>
        <v>4</v>
      </c>
      <c r="AM11" s="37">
        <f t="shared" si="20"/>
        <v>0</v>
      </c>
    </row>
    <row r="12" s="2" customFormat="1" ht="16.9" customHeight="1" spans="1:39">
      <c r="A12" s="39">
        <v>7</v>
      </c>
      <c r="B12" s="276" t="s">
        <v>356</v>
      </c>
      <c r="C12" s="124">
        <v>24</v>
      </c>
      <c r="D12" s="54" t="str">
        <f t="shared" si="2"/>
        <v>W</v>
      </c>
      <c r="E12" s="124">
        <v>6</v>
      </c>
      <c r="F12" s="277" t="str">
        <f t="shared" si="17"/>
        <v>W</v>
      </c>
      <c r="G12" s="124">
        <v>22</v>
      </c>
      <c r="H12" s="156" t="str">
        <f t="shared" si="3"/>
        <v>W</v>
      </c>
      <c r="I12" s="124">
        <v>24</v>
      </c>
      <c r="J12" s="124" t="str">
        <f t="shared" si="4"/>
        <v>W</v>
      </c>
      <c r="K12" s="124">
        <v>20</v>
      </c>
      <c r="L12" s="124" t="str">
        <f t="shared" si="18"/>
        <v>W</v>
      </c>
      <c r="M12" s="124">
        <v>19</v>
      </c>
      <c r="N12" s="124" t="str">
        <f t="shared" si="5"/>
        <v>W</v>
      </c>
      <c r="O12" s="124">
        <v>8</v>
      </c>
      <c r="P12" s="277" t="str">
        <f t="shared" si="6"/>
        <v>W</v>
      </c>
      <c r="Q12" s="124">
        <v>20</v>
      </c>
      <c r="R12" s="124" t="str">
        <f t="shared" si="7"/>
        <v>W</v>
      </c>
      <c r="S12" s="124">
        <v>3</v>
      </c>
      <c r="T12" s="124" t="str">
        <f t="shared" si="19"/>
        <v>W</v>
      </c>
      <c r="U12" s="124">
        <v>31</v>
      </c>
      <c r="V12" s="124" t="str">
        <f>IF(U12&gt;=75,"A",IF(U12&gt;=65,"B",IF(U12&gt;=50,"C",IF(U12&gt;=40,"S","W"))))</f>
        <v>W</v>
      </c>
      <c r="W12" s="100"/>
      <c r="X12" s="282"/>
      <c r="Y12" s="100"/>
      <c r="Z12" s="282"/>
      <c r="AA12" s="124">
        <v>27</v>
      </c>
      <c r="AB12" s="124" t="str">
        <f t="shared" si="9"/>
        <v>W</v>
      </c>
      <c r="AC12" s="277">
        <v>58</v>
      </c>
      <c r="AD12" s="124" t="str">
        <f t="shared" si="10"/>
        <v>C</v>
      </c>
      <c r="AE12" s="124">
        <f t="shared" si="0"/>
        <v>262</v>
      </c>
      <c r="AF12" s="278">
        <f t="shared" si="11"/>
        <v>21.8333333333333</v>
      </c>
      <c r="AG12" s="124">
        <f t="shared" si="12"/>
        <v>25</v>
      </c>
      <c r="AH12" s="36">
        <f t="shared" si="13"/>
        <v>0</v>
      </c>
      <c r="AI12" s="36">
        <f t="shared" si="14"/>
        <v>0</v>
      </c>
      <c r="AJ12" s="36">
        <f t="shared" si="15"/>
        <v>1</v>
      </c>
      <c r="AK12" s="36">
        <f t="shared" si="16"/>
        <v>0</v>
      </c>
      <c r="AL12" s="36">
        <f t="shared" si="1"/>
        <v>11</v>
      </c>
      <c r="AM12" s="37">
        <f t="shared" si="20"/>
        <v>0</v>
      </c>
    </row>
    <row r="13" s="2" customFormat="1" ht="16.9" customHeight="1" spans="1:39">
      <c r="A13" s="24">
        <v>8</v>
      </c>
      <c r="B13" s="276" t="s">
        <v>357</v>
      </c>
      <c r="C13" s="156">
        <v>30</v>
      </c>
      <c r="D13" s="54" t="str">
        <f t="shared" si="2"/>
        <v>W</v>
      </c>
      <c r="E13" s="156">
        <v>13</v>
      </c>
      <c r="F13" s="277" t="str">
        <f t="shared" si="17"/>
        <v>W</v>
      </c>
      <c r="G13" s="279" t="s">
        <v>29</v>
      </c>
      <c r="H13" s="279" t="s">
        <v>29</v>
      </c>
      <c r="I13" s="281">
        <v>35</v>
      </c>
      <c r="J13" s="124" t="str">
        <f t="shared" si="4"/>
        <v>W</v>
      </c>
      <c r="K13" s="124">
        <v>23</v>
      </c>
      <c r="L13" s="124" t="str">
        <f t="shared" si="18"/>
        <v>W</v>
      </c>
      <c r="M13" s="281">
        <v>32</v>
      </c>
      <c r="N13" s="124" t="str">
        <f t="shared" si="5"/>
        <v>W</v>
      </c>
      <c r="O13" s="156">
        <v>37</v>
      </c>
      <c r="P13" s="277" t="str">
        <f t="shared" si="6"/>
        <v>W</v>
      </c>
      <c r="Q13" s="281">
        <v>20</v>
      </c>
      <c r="R13" s="124" t="str">
        <f t="shared" si="7"/>
        <v>W</v>
      </c>
      <c r="S13" s="124">
        <v>5</v>
      </c>
      <c r="T13" s="124" t="str">
        <f t="shared" si="19"/>
        <v>W</v>
      </c>
      <c r="U13" s="282"/>
      <c r="V13" s="282"/>
      <c r="W13" s="156">
        <v>43</v>
      </c>
      <c r="X13" s="124" t="str">
        <f t="shared" si="21"/>
        <v>S</v>
      </c>
      <c r="Y13" s="282"/>
      <c r="Z13" s="282"/>
      <c r="AA13" s="156">
        <v>33</v>
      </c>
      <c r="AB13" s="124" t="str">
        <f t="shared" si="9"/>
        <v>W</v>
      </c>
      <c r="AC13" s="281">
        <v>78</v>
      </c>
      <c r="AD13" s="124" t="str">
        <f t="shared" si="10"/>
        <v>A</v>
      </c>
      <c r="AE13" s="124">
        <f t="shared" si="0"/>
        <v>349</v>
      </c>
      <c r="AF13" s="278">
        <f t="shared" si="11"/>
        <v>29.0833333333333</v>
      </c>
      <c r="AG13" s="124">
        <f t="shared" si="12"/>
        <v>22</v>
      </c>
      <c r="AH13" s="47">
        <f t="shared" si="13"/>
        <v>1</v>
      </c>
      <c r="AI13" s="47">
        <f t="shared" si="14"/>
        <v>0</v>
      </c>
      <c r="AJ13" s="47">
        <f t="shared" si="15"/>
        <v>0</v>
      </c>
      <c r="AK13" s="47">
        <f t="shared" si="16"/>
        <v>1</v>
      </c>
      <c r="AL13" s="47">
        <f t="shared" si="1"/>
        <v>9</v>
      </c>
      <c r="AM13" s="37">
        <f t="shared" si="20"/>
        <v>1</v>
      </c>
    </row>
    <row r="14" s="2" customFormat="1" ht="16.9" customHeight="1" spans="1:39">
      <c r="A14" s="39">
        <v>9</v>
      </c>
      <c r="B14" s="276" t="s">
        <v>358</v>
      </c>
      <c r="C14" s="156">
        <v>25</v>
      </c>
      <c r="D14" s="54" t="str">
        <f t="shared" si="2"/>
        <v>W</v>
      </c>
      <c r="E14" s="281">
        <v>14</v>
      </c>
      <c r="F14" s="277" t="str">
        <f t="shared" si="17"/>
        <v>W</v>
      </c>
      <c r="G14" s="156">
        <v>37</v>
      </c>
      <c r="H14" s="156" t="str">
        <f t="shared" si="3"/>
        <v>W</v>
      </c>
      <c r="I14" s="281">
        <v>30</v>
      </c>
      <c r="J14" s="124" t="str">
        <f t="shared" si="4"/>
        <v>W</v>
      </c>
      <c r="K14" s="124">
        <v>15</v>
      </c>
      <c r="L14" s="124" t="str">
        <f t="shared" si="18"/>
        <v>W</v>
      </c>
      <c r="M14" s="156">
        <v>27</v>
      </c>
      <c r="N14" s="124" t="str">
        <f t="shared" si="5"/>
        <v>W</v>
      </c>
      <c r="O14" s="156">
        <v>34</v>
      </c>
      <c r="P14" s="277" t="str">
        <f t="shared" si="6"/>
        <v>W</v>
      </c>
      <c r="Q14" s="281">
        <v>33</v>
      </c>
      <c r="R14" s="124" t="str">
        <f t="shared" si="7"/>
        <v>W</v>
      </c>
      <c r="S14" s="124">
        <v>7</v>
      </c>
      <c r="T14" s="124" t="str">
        <f t="shared" si="19"/>
        <v>W</v>
      </c>
      <c r="U14" s="156">
        <v>42</v>
      </c>
      <c r="V14" s="124" t="str">
        <f t="shared" ref="V14:V20" si="22">IF(U14&gt;=75,"A",IF(U14&gt;=65,"B",IF(U14&gt;=50,"C",IF(U14&gt;=40,"S","W"))))</f>
        <v>S</v>
      </c>
      <c r="W14" s="282"/>
      <c r="X14" s="282"/>
      <c r="Y14" s="282"/>
      <c r="Z14" s="282"/>
      <c r="AA14" s="156">
        <v>18</v>
      </c>
      <c r="AB14" s="124" t="str">
        <f t="shared" si="9"/>
        <v>W</v>
      </c>
      <c r="AC14" s="281">
        <v>50</v>
      </c>
      <c r="AD14" s="124" t="str">
        <f t="shared" si="10"/>
        <v>C</v>
      </c>
      <c r="AE14" s="124">
        <f t="shared" si="0"/>
        <v>332</v>
      </c>
      <c r="AF14" s="278">
        <f t="shared" si="11"/>
        <v>27.6666666666667</v>
      </c>
      <c r="AG14" s="124">
        <f t="shared" si="12"/>
        <v>23</v>
      </c>
      <c r="AH14" s="36">
        <f t="shared" si="13"/>
        <v>0</v>
      </c>
      <c r="AI14" s="36">
        <f t="shared" si="14"/>
        <v>0</v>
      </c>
      <c r="AJ14" s="36">
        <f t="shared" si="15"/>
        <v>1</v>
      </c>
      <c r="AK14" s="36">
        <f t="shared" si="16"/>
        <v>1</v>
      </c>
      <c r="AL14" s="36">
        <f t="shared" si="1"/>
        <v>10</v>
      </c>
      <c r="AM14" s="37">
        <f t="shared" si="20"/>
        <v>0</v>
      </c>
    </row>
    <row r="15" s="2" customFormat="1" ht="16.9" customHeight="1" spans="1:39">
      <c r="A15" s="24">
        <v>10</v>
      </c>
      <c r="B15" s="276" t="s">
        <v>359</v>
      </c>
      <c r="C15" s="281">
        <v>41</v>
      </c>
      <c r="D15" s="54" t="str">
        <f t="shared" si="2"/>
        <v>S</v>
      </c>
      <c r="E15" s="281">
        <v>10</v>
      </c>
      <c r="F15" s="277" t="str">
        <f t="shared" si="17"/>
        <v>W</v>
      </c>
      <c r="G15" s="156">
        <v>22</v>
      </c>
      <c r="H15" s="156" t="str">
        <f t="shared" si="3"/>
        <v>W</v>
      </c>
      <c r="I15" s="281">
        <v>19</v>
      </c>
      <c r="J15" s="124" t="str">
        <f t="shared" si="4"/>
        <v>W</v>
      </c>
      <c r="K15" s="124">
        <v>33</v>
      </c>
      <c r="L15" s="124" t="str">
        <f t="shared" si="18"/>
        <v>W</v>
      </c>
      <c r="M15" s="156">
        <v>48</v>
      </c>
      <c r="N15" s="124" t="str">
        <f t="shared" si="5"/>
        <v>S</v>
      </c>
      <c r="O15" s="156">
        <v>47</v>
      </c>
      <c r="P15" s="277" t="str">
        <f t="shared" si="6"/>
        <v>S</v>
      </c>
      <c r="Q15" s="281">
        <v>38</v>
      </c>
      <c r="R15" s="124" t="str">
        <f t="shared" si="7"/>
        <v>W</v>
      </c>
      <c r="S15" s="124">
        <v>3</v>
      </c>
      <c r="T15" s="124" t="str">
        <f t="shared" si="19"/>
        <v>W</v>
      </c>
      <c r="U15" s="156">
        <v>32</v>
      </c>
      <c r="V15" s="124" t="str">
        <f t="shared" si="22"/>
        <v>W</v>
      </c>
      <c r="W15" s="282"/>
      <c r="X15" s="282"/>
      <c r="Y15" s="282"/>
      <c r="Z15" s="282"/>
      <c r="AA15" s="156">
        <v>32</v>
      </c>
      <c r="AB15" s="124" t="str">
        <f t="shared" si="9"/>
        <v>W</v>
      </c>
      <c r="AC15" s="281">
        <v>50</v>
      </c>
      <c r="AD15" s="124" t="str">
        <f t="shared" si="10"/>
        <v>C</v>
      </c>
      <c r="AE15" s="124">
        <f t="shared" si="0"/>
        <v>375</v>
      </c>
      <c r="AF15" s="278">
        <f t="shared" si="11"/>
        <v>31.25</v>
      </c>
      <c r="AG15" s="124">
        <f t="shared" si="12"/>
        <v>18</v>
      </c>
      <c r="AH15" s="36">
        <f t="shared" si="13"/>
        <v>0</v>
      </c>
      <c r="AI15" s="36">
        <f t="shared" si="14"/>
        <v>0</v>
      </c>
      <c r="AJ15" s="36">
        <f t="shared" si="15"/>
        <v>1</v>
      </c>
      <c r="AK15" s="36">
        <f t="shared" si="16"/>
        <v>3</v>
      </c>
      <c r="AL15" s="36">
        <f t="shared" si="1"/>
        <v>8</v>
      </c>
      <c r="AM15" s="37">
        <f t="shared" si="20"/>
        <v>0</v>
      </c>
    </row>
    <row r="16" s="2" customFormat="1" ht="16.9" customHeight="1" spans="1:39">
      <c r="A16" s="39">
        <v>11</v>
      </c>
      <c r="B16" s="276" t="s">
        <v>360</v>
      </c>
      <c r="C16" s="156">
        <v>58</v>
      </c>
      <c r="D16" s="54" t="str">
        <f t="shared" si="2"/>
        <v>C</v>
      </c>
      <c r="E16" s="281">
        <v>57</v>
      </c>
      <c r="F16" s="277" t="str">
        <f t="shared" si="17"/>
        <v>C</v>
      </c>
      <c r="G16" s="156">
        <v>57</v>
      </c>
      <c r="H16" s="156" t="str">
        <f t="shared" si="3"/>
        <v>C</v>
      </c>
      <c r="I16" s="281">
        <v>50</v>
      </c>
      <c r="J16" s="124" t="str">
        <f t="shared" si="4"/>
        <v>C</v>
      </c>
      <c r="K16" s="277">
        <v>34</v>
      </c>
      <c r="L16" s="124" t="str">
        <f t="shared" si="18"/>
        <v>W</v>
      </c>
      <c r="M16" s="281">
        <v>49</v>
      </c>
      <c r="N16" s="124" t="str">
        <f t="shared" si="5"/>
        <v>S</v>
      </c>
      <c r="O16" s="281">
        <v>67</v>
      </c>
      <c r="P16" s="277" t="str">
        <f t="shared" si="6"/>
        <v>B</v>
      </c>
      <c r="Q16" s="281">
        <v>39</v>
      </c>
      <c r="R16" s="124" t="str">
        <f t="shared" si="7"/>
        <v>W</v>
      </c>
      <c r="S16" s="124">
        <v>24</v>
      </c>
      <c r="T16" s="124" t="str">
        <f t="shared" si="19"/>
        <v>W</v>
      </c>
      <c r="U16" s="156">
        <v>58</v>
      </c>
      <c r="V16" s="124" t="str">
        <f t="shared" si="22"/>
        <v>C</v>
      </c>
      <c r="W16" s="282"/>
      <c r="X16" s="282"/>
      <c r="Y16" s="282"/>
      <c r="Z16" s="282"/>
      <c r="AA16" s="156">
        <v>68</v>
      </c>
      <c r="AB16" s="124" t="str">
        <f t="shared" si="9"/>
        <v>B</v>
      </c>
      <c r="AC16" s="281">
        <v>93</v>
      </c>
      <c r="AD16" s="124" t="str">
        <f t="shared" si="10"/>
        <v>A</v>
      </c>
      <c r="AE16" s="124">
        <f t="shared" si="0"/>
        <v>654</v>
      </c>
      <c r="AF16" s="278">
        <f t="shared" si="11"/>
        <v>54.5</v>
      </c>
      <c r="AG16" s="124">
        <f t="shared" si="12"/>
        <v>4</v>
      </c>
      <c r="AH16" s="36">
        <f t="shared" si="13"/>
        <v>1</v>
      </c>
      <c r="AI16" s="36">
        <f t="shared" si="14"/>
        <v>2</v>
      </c>
      <c r="AJ16" s="36">
        <f t="shared" si="15"/>
        <v>5</v>
      </c>
      <c r="AK16" s="36">
        <f t="shared" si="16"/>
        <v>1</v>
      </c>
      <c r="AL16" s="36">
        <f t="shared" si="1"/>
        <v>3</v>
      </c>
      <c r="AM16" s="37">
        <f t="shared" si="20"/>
        <v>0</v>
      </c>
    </row>
    <row r="17" s="2" customFormat="1" ht="16.9" customHeight="1" spans="1:39">
      <c r="A17" s="24">
        <v>12</v>
      </c>
      <c r="B17" s="276" t="s">
        <v>361</v>
      </c>
      <c r="C17" s="281">
        <v>18</v>
      </c>
      <c r="D17" s="54" t="str">
        <f t="shared" si="2"/>
        <v>W</v>
      </c>
      <c r="E17" s="281">
        <v>4</v>
      </c>
      <c r="F17" s="277" t="str">
        <f t="shared" si="17"/>
        <v>W</v>
      </c>
      <c r="G17" s="156">
        <v>8</v>
      </c>
      <c r="H17" s="156" t="str">
        <f t="shared" si="3"/>
        <v>W</v>
      </c>
      <c r="I17" s="281">
        <v>3</v>
      </c>
      <c r="J17" s="124" t="str">
        <f t="shared" si="4"/>
        <v>W</v>
      </c>
      <c r="K17" s="277">
        <v>10</v>
      </c>
      <c r="L17" s="124" t="str">
        <f t="shared" si="18"/>
        <v>W</v>
      </c>
      <c r="M17" s="156">
        <v>10</v>
      </c>
      <c r="N17" s="124" t="str">
        <f t="shared" si="5"/>
        <v>W</v>
      </c>
      <c r="O17" s="281">
        <v>6</v>
      </c>
      <c r="P17" s="277" t="str">
        <f t="shared" si="6"/>
        <v>W</v>
      </c>
      <c r="Q17" s="281">
        <v>12</v>
      </c>
      <c r="R17" s="124" t="str">
        <f t="shared" si="7"/>
        <v>W</v>
      </c>
      <c r="S17" s="124">
        <v>2</v>
      </c>
      <c r="T17" s="124" t="str">
        <f t="shared" si="19"/>
        <v>W</v>
      </c>
      <c r="U17" s="156">
        <v>25</v>
      </c>
      <c r="V17" s="124" t="str">
        <f t="shared" si="22"/>
        <v>W</v>
      </c>
      <c r="W17" s="282"/>
      <c r="X17" s="282"/>
      <c r="Y17" s="283"/>
      <c r="Z17" s="282"/>
      <c r="AA17" s="281">
        <v>18</v>
      </c>
      <c r="AB17" s="124" t="str">
        <f t="shared" si="9"/>
        <v>W</v>
      </c>
      <c r="AC17" s="281">
        <v>25</v>
      </c>
      <c r="AD17" s="124" t="str">
        <f t="shared" si="10"/>
        <v>W</v>
      </c>
      <c r="AE17" s="124">
        <f t="shared" si="0"/>
        <v>141</v>
      </c>
      <c r="AF17" s="278">
        <f t="shared" si="11"/>
        <v>11.75</v>
      </c>
      <c r="AG17" s="124">
        <f t="shared" si="12"/>
        <v>27</v>
      </c>
      <c r="AH17" s="36">
        <f t="shared" si="13"/>
        <v>0</v>
      </c>
      <c r="AI17" s="36">
        <f t="shared" si="14"/>
        <v>0</v>
      </c>
      <c r="AJ17" s="36">
        <f t="shared" si="15"/>
        <v>0</v>
      </c>
      <c r="AK17" s="36">
        <f t="shared" si="16"/>
        <v>0</v>
      </c>
      <c r="AL17" s="36">
        <f t="shared" si="1"/>
        <v>12</v>
      </c>
      <c r="AM17" s="37">
        <f t="shared" si="20"/>
        <v>0</v>
      </c>
    </row>
    <row r="18" s="2" customFormat="1" ht="16.9" customHeight="1" spans="1:39">
      <c r="A18" s="39">
        <v>13</v>
      </c>
      <c r="B18" s="276" t="s">
        <v>362</v>
      </c>
      <c r="C18" s="281">
        <v>41</v>
      </c>
      <c r="D18" s="54" t="str">
        <f t="shared" si="2"/>
        <v>S</v>
      </c>
      <c r="E18" s="281">
        <v>11</v>
      </c>
      <c r="F18" s="277" t="str">
        <f t="shared" si="17"/>
        <v>W</v>
      </c>
      <c r="G18" s="156">
        <v>47</v>
      </c>
      <c r="H18" s="156" t="str">
        <f t="shared" si="3"/>
        <v>S</v>
      </c>
      <c r="I18" s="281">
        <v>50</v>
      </c>
      <c r="J18" s="124" t="str">
        <f t="shared" si="4"/>
        <v>C</v>
      </c>
      <c r="K18" s="124">
        <v>36</v>
      </c>
      <c r="L18" s="124" t="str">
        <f t="shared" si="18"/>
        <v>W</v>
      </c>
      <c r="M18" s="156">
        <v>22</v>
      </c>
      <c r="N18" s="124" t="str">
        <f t="shared" si="5"/>
        <v>W</v>
      </c>
      <c r="O18" s="156">
        <v>37</v>
      </c>
      <c r="P18" s="277" t="str">
        <f t="shared" si="6"/>
        <v>W</v>
      </c>
      <c r="Q18" s="281">
        <v>46</v>
      </c>
      <c r="R18" s="124" t="str">
        <f t="shared" si="7"/>
        <v>S</v>
      </c>
      <c r="S18" s="124">
        <v>16</v>
      </c>
      <c r="T18" s="124" t="str">
        <f t="shared" si="19"/>
        <v>W</v>
      </c>
      <c r="U18" s="156">
        <v>56</v>
      </c>
      <c r="V18" s="124" t="str">
        <f t="shared" si="22"/>
        <v>C</v>
      </c>
      <c r="W18" s="282"/>
      <c r="X18" s="282"/>
      <c r="Y18" s="282"/>
      <c r="Z18" s="282"/>
      <c r="AA18" s="156">
        <v>49</v>
      </c>
      <c r="AB18" s="124" t="str">
        <f t="shared" si="9"/>
        <v>S</v>
      </c>
      <c r="AC18" s="281">
        <v>83</v>
      </c>
      <c r="AD18" s="124" t="str">
        <f t="shared" si="10"/>
        <v>A</v>
      </c>
      <c r="AE18" s="124">
        <f t="shared" si="0"/>
        <v>494</v>
      </c>
      <c r="AF18" s="278">
        <f t="shared" si="11"/>
        <v>41.1666666666667</v>
      </c>
      <c r="AG18" s="124">
        <f t="shared" si="12"/>
        <v>11</v>
      </c>
      <c r="AH18" s="36">
        <f t="shared" si="13"/>
        <v>1</v>
      </c>
      <c r="AI18" s="36">
        <f t="shared" si="14"/>
        <v>0</v>
      </c>
      <c r="AJ18" s="36">
        <f t="shared" si="15"/>
        <v>2</v>
      </c>
      <c r="AK18" s="36">
        <f t="shared" si="16"/>
        <v>4</v>
      </c>
      <c r="AL18" s="36">
        <f t="shared" si="1"/>
        <v>5</v>
      </c>
      <c r="AM18" s="37">
        <f t="shared" si="20"/>
        <v>0</v>
      </c>
    </row>
    <row r="19" s="2" customFormat="1" ht="16.9" customHeight="1" spans="1:39">
      <c r="A19" s="24">
        <v>14</v>
      </c>
      <c r="B19" s="276" t="s">
        <v>363</v>
      </c>
      <c r="C19" s="156">
        <v>33</v>
      </c>
      <c r="D19" s="54" t="str">
        <f t="shared" si="2"/>
        <v>W</v>
      </c>
      <c r="E19" s="281">
        <v>4</v>
      </c>
      <c r="F19" s="277" t="str">
        <f t="shared" si="17"/>
        <v>W</v>
      </c>
      <c r="G19" s="156">
        <v>14</v>
      </c>
      <c r="H19" s="156" t="str">
        <f t="shared" si="3"/>
        <v>W</v>
      </c>
      <c r="I19" s="281">
        <v>9</v>
      </c>
      <c r="J19" s="124" t="str">
        <f t="shared" si="4"/>
        <v>W</v>
      </c>
      <c r="K19" s="124">
        <v>17</v>
      </c>
      <c r="L19" s="124" t="str">
        <f t="shared" si="18"/>
        <v>W</v>
      </c>
      <c r="M19" s="156">
        <v>8</v>
      </c>
      <c r="N19" s="124" t="str">
        <f t="shared" si="5"/>
        <v>W</v>
      </c>
      <c r="O19" s="156">
        <v>16</v>
      </c>
      <c r="P19" s="277" t="str">
        <f t="shared" si="6"/>
        <v>W</v>
      </c>
      <c r="Q19" s="281">
        <v>26</v>
      </c>
      <c r="R19" s="124" t="str">
        <f t="shared" si="7"/>
        <v>W</v>
      </c>
      <c r="S19" s="124">
        <v>4</v>
      </c>
      <c r="T19" s="124" t="str">
        <f t="shared" si="19"/>
        <v>W</v>
      </c>
      <c r="U19" s="156">
        <v>21</v>
      </c>
      <c r="V19" s="124" t="str">
        <f t="shared" si="22"/>
        <v>W</v>
      </c>
      <c r="W19" s="282"/>
      <c r="X19" s="282"/>
      <c r="Y19" s="282"/>
      <c r="Z19" s="282"/>
      <c r="AA19" s="156">
        <v>39</v>
      </c>
      <c r="AB19" s="124" t="str">
        <f t="shared" si="9"/>
        <v>W</v>
      </c>
      <c r="AC19" s="281">
        <v>45</v>
      </c>
      <c r="AD19" s="124" t="str">
        <f t="shared" si="10"/>
        <v>S</v>
      </c>
      <c r="AE19" s="124">
        <f t="shared" ref="AE19:AE32" si="23">SUM(AC19,AA19,Y19,W19,U19,S19,Q19,O19,M19,K19,I19,G19,E19,C19)</f>
        <v>236</v>
      </c>
      <c r="AF19" s="278">
        <f t="shared" si="11"/>
        <v>19.6666666666667</v>
      </c>
      <c r="AG19" s="124">
        <f t="shared" si="12"/>
        <v>26</v>
      </c>
      <c r="AH19" s="36">
        <f t="shared" si="13"/>
        <v>0</v>
      </c>
      <c r="AI19" s="36">
        <f t="shared" si="14"/>
        <v>0</v>
      </c>
      <c r="AJ19" s="36">
        <f t="shared" si="15"/>
        <v>0</v>
      </c>
      <c r="AK19" s="36">
        <f t="shared" si="16"/>
        <v>1</v>
      </c>
      <c r="AL19" s="36">
        <f t="shared" si="1"/>
        <v>11</v>
      </c>
      <c r="AM19" s="37">
        <f t="shared" si="20"/>
        <v>0</v>
      </c>
    </row>
    <row r="20" s="2" customFormat="1" ht="16.9" customHeight="1" spans="1:39">
      <c r="A20" s="24">
        <v>15</v>
      </c>
      <c r="B20" s="276" t="s">
        <v>364</v>
      </c>
      <c r="C20" s="156">
        <v>39</v>
      </c>
      <c r="D20" s="54" t="str">
        <f t="shared" si="2"/>
        <v>W</v>
      </c>
      <c r="E20" s="281">
        <v>8</v>
      </c>
      <c r="F20" s="277" t="str">
        <f t="shared" si="17"/>
        <v>W</v>
      </c>
      <c r="G20" s="156">
        <v>30</v>
      </c>
      <c r="H20" s="156" t="str">
        <f t="shared" si="3"/>
        <v>W</v>
      </c>
      <c r="I20" s="281">
        <v>28</v>
      </c>
      <c r="J20" s="124" t="str">
        <f t="shared" si="4"/>
        <v>W</v>
      </c>
      <c r="K20" s="124">
        <v>22</v>
      </c>
      <c r="L20" s="124" t="str">
        <f t="shared" si="18"/>
        <v>W</v>
      </c>
      <c r="M20" s="156">
        <v>18</v>
      </c>
      <c r="N20" s="124" t="str">
        <f t="shared" si="5"/>
        <v>W</v>
      </c>
      <c r="O20" s="156">
        <v>58</v>
      </c>
      <c r="P20" s="277" t="str">
        <f t="shared" si="6"/>
        <v>C</v>
      </c>
      <c r="Q20" s="281">
        <v>34</v>
      </c>
      <c r="R20" s="124" t="str">
        <f t="shared" si="7"/>
        <v>W</v>
      </c>
      <c r="S20" s="124">
        <v>13</v>
      </c>
      <c r="T20" s="124" t="str">
        <f t="shared" si="19"/>
        <v>W</v>
      </c>
      <c r="U20" s="156">
        <v>42</v>
      </c>
      <c r="V20" s="124" t="str">
        <f t="shared" si="22"/>
        <v>S</v>
      </c>
      <c r="W20" s="282"/>
      <c r="X20" s="282"/>
      <c r="Y20" s="282"/>
      <c r="Z20" s="282"/>
      <c r="AA20" s="156">
        <v>26</v>
      </c>
      <c r="AB20" s="124" t="str">
        <f t="shared" si="9"/>
        <v>W</v>
      </c>
      <c r="AC20" s="281">
        <v>83</v>
      </c>
      <c r="AD20" s="124" t="str">
        <f t="shared" si="10"/>
        <v>A</v>
      </c>
      <c r="AE20" s="124">
        <f t="shared" si="23"/>
        <v>401</v>
      </c>
      <c r="AF20" s="278">
        <f t="shared" si="11"/>
        <v>33.4166666666667</v>
      </c>
      <c r="AG20" s="124">
        <f t="shared" si="12"/>
        <v>17</v>
      </c>
      <c r="AH20" s="36">
        <f t="shared" si="13"/>
        <v>1</v>
      </c>
      <c r="AI20" s="36">
        <f t="shared" si="14"/>
        <v>0</v>
      </c>
      <c r="AJ20" s="36">
        <f t="shared" si="15"/>
        <v>1</v>
      </c>
      <c r="AK20" s="36">
        <f t="shared" si="16"/>
        <v>1</v>
      </c>
      <c r="AL20" s="36">
        <f t="shared" si="1"/>
        <v>9</v>
      </c>
      <c r="AM20" s="37">
        <f t="shared" si="20"/>
        <v>0</v>
      </c>
    </row>
    <row r="21" s="2" customFormat="1" ht="16.9" customHeight="1" spans="1:39">
      <c r="A21" s="39">
        <v>16</v>
      </c>
      <c r="B21" s="276" t="s">
        <v>365</v>
      </c>
      <c r="C21" s="156">
        <v>49</v>
      </c>
      <c r="D21" s="54" t="str">
        <f t="shared" si="2"/>
        <v>S</v>
      </c>
      <c r="E21" s="281">
        <v>20</v>
      </c>
      <c r="F21" s="277" t="str">
        <f t="shared" si="17"/>
        <v>W</v>
      </c>
      <c r="G21" s="156">
        <v>51</v>
      </c>
      <c r="H21" s="156" t="str">
        <f t="shared" si="3"/>
        <v>C</v>
      </c>
      <c r="I21" s="281">
        <v>40</v>
      </c>
      <c r="J21" s="124" t="str">
        <f t="shared" si="4"/>
        <v>S</v>
      </c>
      <c r="K21" s="124">
        <v>30</v>
      </c>
      <c r="L21" s="124" t="str">
        <f t="shared" si="18"/>
        <v>W</v>
      </c>
      <c r="M21" s="156">
        <v>40</v>
      </c>
      <c r="N21" s="124" t="str">
        <f t="shared" si="5"/>
        <v>S</v>
      </c>
      <c r="O21" s="156">
        <v>49</v>
      </c>
      <c r="P21" s="277" t="str">
        <f t="shared" si="6"/>
        <v>S</v>
      </c>
      <c r="Q21" s="156">
        <v>37</v>
      </c>
      <c r="R21" s="124" t="str">
        <f t="shared" si="7"/>
        <v>W</v>
      </c>
      <c r="S21" s="124">
        <v>42</v>
      </c>
      <c r="T21" s="124" t="str">
        <f t="shared" si="19"/>
        <v>S</v>
      </c>
      <c r="U21" s="282"/>
      <c r="V21" s="100"/>
      <c r="W21" s="156">
        <v>84</v>
      </c>
      <c r="X21" s="124" t="str">
        <f t="shared" si="21"/>
        <v>A</v>
      </c>
      <c r="Y21" s="282"/>
      <c r="Z21" s="282"/>
      <c r="AA21" s="156">
        <v>57</v>
      </c>
      <c r="AB21" s="124" t="str">
        <f t="shared" si="9"/>
        <v>C</v>
      </c>
      <c r="AC21" s="156">
        <v>88</v>
      </c>
      <c r="AD21" s="124" t="str">
        <f t="shared" si="10"/>
        <v>A</v>
      </c>
      <c r="AE21" s="124">
        <f t="shared" si="23"/>
        <v>587</v>
      </c>
      <c r="AF21" s="278">
        <f t="shared" si="11"/>
        <v>48.9166666666667</v>
      </c>
      <c r="AG21" s="124">
        <f t="shared" si="12"/>
        <v>8</v>
      </c>
      <c r="AH21" s="36">
        <f t="shared" si="13"/>
        <v>2</v>
      </c>
      <c r="AI21" s="36">
        <f t="shared" si="14"/>
        <v>0</v>
      </c>
      <c r="AJ21" s="36">
        <f t="shared" si="15"/>
        <v>2</v>
      </c>
      <c r="AK21" s="36">
        <f t="shared" si="16"/>
        <v>5</v>
      </c>
      <c r="AL21" s="36">
        <f t="shared" ref="AL21:AL32" si="24">COUNTIF(C21:AD21,"W")</f>
        <v>3</v>
      </c>
      <c r="AM21" s="37">
        <f t="shared" si="20"/>
        <v>0</v>
      </c>
    </row>
    <row r="22" s="2" customFormat="1" ht="16.9" customHeight="1" spans="1:39">
      <c r="A22" s="24">
        <v>17</v>
      </c>
      <c r="B22" s="276" t="s">
        <v>366</v>
      </c>
      <c r="C22" s="156">
        <v>70</v>
      </c>
      <c r="D22" s="54" t="str">
        <f t="shared" si="2"/>
        <v>B</v>
      </c>
      <c r="E22" s="281">
        <v>42</v>
      </c>
      <c r="F22" s="277" t="str">
        <f t="shared" si="17"/>
        <v>S</v>
      </c>
      <c r="G22" s="156">
        <v>56</v>
      </c>
      <c r="H22" s="156" t="str">
        <f t="shared" si="3"/>
        <v>C</v>
      </c>
      <c r="I22" s="281">
        <v>50</v>
      </c>
      <c r="J22" s="124" t="str">
        <f t="shared" si="4"/>
        <v>C</v>
      </c>
      <c r="K22" s="124">
        <v>32</v>
      </c>
      <c r="L22" s="124" t="str">
        <f t="shared" si="18"/>
        <v>W</v>
      </c>
      <c r="M22" s="156">
        <v>40</v>
      </c>
      <c r="N22" s="124" t="str">
        <f t="shared" si="5"/>
        <v>S</v>
      </c>
      <c r="O22" s="156">
        <v>68</v>
      </c>
      <c r="P22" s="277" t="str">
        <f t="shared" si="6"/>
        <v>B</v>
      </c>
      <c r="Q22" s="281">
        <v>47</v>
      </c>
      <c r="R22" s="124" t="str">
        <f t="shared" si="7"/>
        <v>S</v>
      </c>
      <c r="S22" s="124">
        <v>80</v>
      </c>
      <c r="T22" s="124" t="str">
        <f t="shared" si="19"/>
        <v>A</v>
      </c>
      <c r="U22" s="282"/>
      <c r="V22" s="100"/>
      <c r="W22" s="282"/>
      <c r="X22" s="282"/>
      <c r="Y22" s="156">
        <v>63</v>
      </c>
      <c r="Z22" s="124" t="str">
        <f t="shared" si="8"/>
        <v>C</v>
      </c>
      <c r="AA22" s="156">
        <v>76</v>
      </c>
      <c r="AB22" s="124" t="str">
        <f t="shared" si="9"/>
        <v>A</v>
      </c>
      <c r="AC22" s="156">
        <v>88</v>
      </c>
      <c r="AD22" s="124" t="str">
        <f t="shared" si="10"/>
        <v>A</v>
      </c>
      <c r="AE22" s="124">
        <f t="shared" si="23"/>
        <v>712</v>
      </c>
      <c r="AF22" s="278">
        <f t="shared" si="11"/>
        <v>59.3333333333333</v>
      </c>
      <c r="AG22" s="124">
        <f t="shared" si="12"/>
        <v>2</v>
      </c>
      <c r="AH22" s="36">
        <f t="shared" si="13"/>
        <v>3</v>
      </c>
      <c r="AI22" s="36">
        <f t="shared" si="14"/>
        <v>2</v>
      </c>
      <c r="AJ22" s="36">
        <f t="shared" si="15"/>
        <v>3</v>
      </c>
      <c r="AK22" s="36">
        <f t="shared" si="16"/>
        <v>3</v>
      </c>
      <c r="AL22" s="36">
        <f t="shared" si="24"/>
        <v>1</v>
      </c>
      <c r="AM22" s="37">
        <f t="shared" si="20"/>
        <v>0</v>
      </c>
    </row>
    <row r="23" s="2" customFormat="1" ht="16.9" customHeight="1" spans="1:39">
      <c r="A23" s="24">
        <v>18</v>
      </c>
      <c r="B23" s="276" t="s">
        <v>367</v>
      </c>
      <c r="C23" s="156">
        <v>44</v>
      </c>
      <c r="D23" s="54" t="str">
        <f t="shared" si="2"/>
        <v>S</v>
      </c>
      <c r="E23" s="281">
        <v>18</v>
      </c>
      <c r="F23" s="277" t="str">
        <f t="shared" si="17"/>
        <v>W</v>
      </c>
      <c r="G23" s="156">
        <v>51</v>
      </c>
      <c r="H23" s="156" t="str">
        <f t="shared" si="3"/>
        <v>C</v>
      </c>
      <c r="I23" s="281">
        <v>30</v>
      </c>
      <c r="J23" s="124" t="str">
        <f t="shared" si="4"/>
        <v>W</v>
      </c>
      <c r="K23" s="124">
        <v>21</v>
      </c>
      <c r="L23" s="124" t="str">
        <f t="shared" si="18"/>
        <v>W</v>
      </c>
      <c r="M23" s="156">
        <v>37</v>
      </c>
      <c r="N23" s="124" t="str">
        <f t="shared" si="5"/>
        <v>W</v>
      </c>
      <c r="O23" s="156">
        <v>48</v>
      </c>
      <c r="P23" s="277" t="str">
        <f t="shared" si="6"/>
        <v>S</v>
      </c>
      <c r="Q23" s="281">
        <v>30</v>
      </c>
      <c r="R23" s="124" t="str">
        <f t="shared" si="7"/>
        <v>W</v>
      </c>
      <c r="S23" s="124">
        <v>16</v>
      </c>
      <c r="T23" s="124" t="str">
        <f t="shared" si="19"/>
        <v>W</v>
      </c>
      <c r="U23" s="282"/>
      <c r="V23" s="100"/>
      <c r="W23" s="156">
        <v>70</v>
      </c>
      <c r="X23" s="124" t="str">
        <f t="shared" si="21"/>
        <v>B</v>
      </c>
      <c r="Y23" s="282"/>
      <c r="Z23" s="282"/>
      <c r="AA23" s="156">
        <v>68</v>
      </c>
      <c r="AB23" s="124" t="str">
        <f t="shared" si="9"/>
        <v>B</v>
      </c>
      <c r="AC23" s="156">
        <v>93</v>
      </c>
      <c r="AD23" s="124" t="str">
        <f t="shared" si="10"/>
        <v>A</v>
      </c>
      <c r="AE23" s="124">
        <f t="shared" si="23"/>
        <v>526</v>
      </c>
      <c r="AF23" s="278">
        <f t="shared" si="11"/>
        <v>43.8333333333333</v>
      </c>
      <c r="AG23" s="124">
        <f t="shared" si="12"/>
        <v>10</v>
      </c>
      <c r="AH23" s="36">
        <f t="shared" si="13"/>
        <v>1</v>
      </c>
      <c r="AI23" s="36">
        <f t="shared" si="14"/>
        <v>2</v>
      </c>
      <c r="AJ23" s="36">
        <f t="shared" si="15"/>
        <v>1</v>
      </c>
      <c r="AK23" s="36">
        <f t="shared" si="16"/>
        <v>2</v>
      </c>
      <c r="AL23" s="36">
        <f t="shared" si="24"/>
        <v>6</v>
      </c>
      <c r="AM23" s="37">
        <f t="shared" si="20"/>
        <v>0</v>
      </c>
    </row>
    <row r="24" s="2" customFormat="1" ht="16.9" customHeight="1" spans="1:39">
      <c r="A24" s="39">
        <v>19</v>
      </c>
      <c r="B24" s="276" t="s">
        <v>368</v>
      </c>
      <c r="C24" s="156">
        <v>52</v>
      </c>
      <c r="D24" s="54" t="str">
        <f t="shared" si="2"/>
        <v>C</v>
      </c>
      <c r="E24" s="281">
        <v>5</v>
      </c>
      <c r="F24" s="277" t="str">
        <f t="shared" si="17"/>
        <v>W</v>
      </c>
      <c r="G24" s="156">
        <v>50</v>
      </c>
      <c r="H24" s="156" t="str">
        <f t="shared" si="3"/>
        <v>C</v>
      </c>
      <c r="I24" s="281">
        <v>21</v>
      </c>
      <c r="J24" s="124" t="str">
        <f t="shared" si="4"/>
        <v>W</v>
      </c>
      <c r="K24" s="124">
        <v>31</v>
      </c>
      <c r="L24" s="124" t="str">
        <f t="shared" si="18"/>
        <v>W</v>
      </c>
      <c r="M24" s="156">
        <v>43</v>
      </c>
      <c r="N24" s="124" t="str">
        <f t="shared" si="5"/>
        <v>S</v>
      </c>
      <c r="O24" s="156">
        <v>43</v>
      </c>
      <c r="P24" s="277" t="str">
        <f t="shared" si="6"/>
        <v>S</v>
      </c>
      <c r="Q24" s="281">
        <v>27</v>
      </c>
      <c r="R24" s="124" t="str">
        <f t="shared" si="7"/>
        <v>W</v>
      </c>
      <c r="S24" s="124">
        <v>20</v>
      </c>
      <c r="T24" s="124" t="str">
        <f t="shared" si="19"/>
        <v>W</v>
      </c>
      <c r="U24" s="282"/>
      <c r="V24" s="100"/>
      <c r="W24" s="282"/>
      <c r="X24" s="282"/>
      <c r="Y24" s="156">
        <v>13</v>
      </c>
      <c r="Z24" s="124" t="str">
        <f t="shared" si="8"/>
        <v>W</v>
      </c>
      <c r="AA24" s="156">
        <v>56</v>
      </c>
      <c r="AB24" s="124" t="str">
        <f t="shared" si="9"/>
        <v>C</v>
      </c>
      <c r="AC24" s="156">
        <v>73</v>
      </c>
      <c r="AD24" s="124" t="str">
        <f t="shared" si="10"/>
        <v>B</v>
      </c>
      <c r="AE24" s="124">
        <f t="shared" si="23"/>
        <v>434</v>
      </c>
      <c r="AF24" s="278">
        <f t="shared" si="11"/>
        <v>36.1666666666667</v>
      </c>
      <c r="AG24" s="124">
        <f t="shared" si="12"/>
        <v>16</v>
      </c>
      <c r="AH24" s="36">
        <f t="shared" si="13"/>
        <v>0</v>
      </c>
      <c r="AI24" s="36">
        <f t="shared" si="14"/>
        <v>1</v>
      </c>
      <c r="AJ24" s="36">
        <f t="shared" si="15"/>
        <v>3</v>
      </c>
      <c r="AK24" s="36">
        <f t="shared" si="16"/>
        <v>2</v>
      </c>
      <c r="AL24" s="36">
        <f t="shared" si="24"/>
        <v>6</v>
      </c>
      <c r="AM24" s="37">
        <f t="shared" si="20"/>
        <v>0</v>
      </c>
    </row>
    <row r="25" s="2" customFormat="1" ht="16.9" customHeight="1" spans="1:39">
      <c r="A25" s="24">
        <v>20</v>
      </c>
      <c r="B25" s="276" t="s">
        <v>369</v>
      </c>
      <c r="C25" s="156">
        <v>34</v>
      </c>
      <c r="D25" s="54" t="str">
        <f t="shared" si="2"/>
        <v>W</v>
      </c>
      <c r="E25" s="281">
        <v>10</v>
      </c>
      <c r="F25" s="277" t="str">
        <f t="shared" si="17"/>
        <v>W</v>
      </c>
      <c r="G25" s="156">
        <v>34</v>
      </c>
      <c r="H25" s="156" t="str">
        <f t="shared" si="3"/>
        <v>W</v>
      </c>
      <c r="I25" s="281">
        <v>26</v>
      </c>
      <c r="J25" s="124" t="str">
        <f t="shared" si="4"/>
        <v>W</v>
      </c>
      <c r="K25" s="124">
        <v>18</v>
      </c>
      <c r="L25" s="124" t="str">
        <f t="shared" si="18"/>
        <v>W</v>
      </c>
      <c r="M25" s="156">
        <v>19</v>
      </c>
      <c r="N25" s="124" t="str">
        <f t="shared" si="5"/>
        <v>W</v>
      </c>
      <c r="O25" s="156">
        <v>31</v>
      </c>
      <c r="P25" s="277" t="str">
        <f t="shared" si="6"/>
        <v>W</v>
      </c>
      <c r="Q25" s="281">
        <v>17</v>
      </c>
      <c r="R25" s="124" t="str">
        <f t="shared" si="7"/>
        <v>W</v>
      </c>
      <c r="S25" s="124">
        <v>10</v>
      </c>
      <c r="T25" s="124" t="str">
        <f t="shared" si="19"/>
        <v>W</v>
      </c>
      <c r="U25" s="282"/>
      <c r="V25" s="100"/>
      <c r="W25" s="282"/>
      <c r="X25" s="282"/>
      <c r="Y25" s="156">
        <v>28</v>
      </c>
      <c r="Z25" s="124" t="str">
        <f t="shared" si="8"/>
        <v>W</v>
      </c>
      <c r="AA25" s="156">
        <v>32</v>
      </c>
      <c r="AB25" s="124" t="str">
        <f t="shared" si="9"/>
        <v>W</v>
      </c>
      <c r="AC25" s="156">
        <v>93</v>
      </c>
      <c r="AD25" s="124" t="str">
        <f t="shared" si="10"/>
        <v>A</v>
      </c>
      <c r="AE25" s="124">
        <f t="shared" si="23"/>
        <v>352</v>
      </c>
      <c r="AF25" s="278">
        <f t="shared" si="11"/>
        <v>29.3333333333333</v>
      </c>
      <c r="AG25" s="124">
        <f t="shared" si="12"/>
        <v>21</v>
      </c>
      <c r="AH25" s="36">
        <f t="shared" si="13"/>
        <v>1</v>
      </c>
      <c r="AI25" s="36">
        <f t="shared" si="14"/>
        <v>0</v>
      </c>
      <c r="AJ25" s="36">
        <f t="shared" si="15"/>
        <v>0</v>
      </c>
      <c r="AK25" s="36">
        <f t="shared" si="16"/>
        <v>0</v>
      </c>
      <c r="AL25" s="36">
        <f t="shared" si="24"/>
        <v>11</v>
      </c>
      <c r="AM25" s="37">
        <f t="shared" si="20"/>
        <v>0</v>
      </c>
    </row>
    <row r="26" s="2" customFormat="1" ht="16.9" customHeight="1" spans="1:39">
      <c r="A26" s="24">
        <v>21</v>
      </c>
      <c r="B26" s="276" t="s">
        <v>370</v>
      </c>
      <c r="C26" s="156">
        <v>56</v>
      </c>
      <c r="D26" s="54" t="str">
        <f t="shared" si="2"/>
        <v>C</v>
      </c>
      <c r="E26" s="281">
        <v>38</v>
      </c>
      <c r="F26" s="277" t="str">
        <f t="shared" si="17"/>
        <v>W</v>
      </c>
      <c r="G26" s="156">
        <v>67</v>
      </c>
      <c r="H26" s="156" t="str">
        <f t="shared" si="3"/>
        <v>B</v>
      </c>
      <c r="I26" s="281">
        <v>40</v>
      </c>
      <c r="J26" s="124" t="str">
        <f t="shared" si="4"/>
        <v>S</v>
      </c>
      <c r="K26" s="124">
        <v>43</v>
      </c>
      <c r="L26" s="124" t="str">
        <f t="shared" si="18"/>
        <v>S</v>
      </c>
      <c r="M26" s="156">
        <v>40</v>
      </c>
      <c r="N26" s="124" t="str">
        <f t="shared" si="5"/>
        <v>S</v>
      </c>
      <c r="O26" s="156">
        <v>59</v>
      </c>
      <c r="P26" s="277" t="str">
        <f t="shared" si="6"/>
        <v>C</v>
      </c>
      <c r="Q26" s="281">
        <v>39</v>
      </c>
      <c r="R26" s="124" t="str">
        <f t="shared" si="7"/>
        <v>W</v>
      </c>
      <c r="S26" s="124">
        <v>40</v>
      </c>
      <c r="T26" s="124" t="str">
        <f t="shared" si="19"/>
        <v>S</v>
      </c>
      <c r="U26" s="282"/>
      <c r="V26" s="100"/>
      <c r="W26" s="156">
        <v>75</v>
      </c>
      <c r="X26" s="124" t="str">
        <f t="shared" si="21"/>
        <v>A</v>
      </c>
      <c r="Y26" s="282"/>
      <c r="Z26" s="100"/>
      <c r="AA26" s="156">
        <v>55</v>
      </c>
      <c r="AB26" s="124" t="str">
        <f t="shared" si="9"/>
        <v>C</v>
      </c>
      <c r="AC26" s="156">
        <v>90</v>
      </c>
      <c r="AD26" s="124" t="str">
        <f t="shared" si="10"/>
        <v>A</v>
      </c>
      <c r="AE26" s="124">
        <f t="shared" si="23"/>
        <v>642</v>
      </c>
      <c r="AF26" s="278">
        <f t="shared" si="11"/>
        <v>53.5</v>
      </c>
      <c r="AG26" s="124">
        <f t="shared" si="12"/>
        <v>5</v>
      </c>
      <c r="AH26" s="36">
        <f t="shared" si="13"/>
        <v>2</v>
      </c>
      <c r="AI26" s="36">
        <f t="shared" si="14"/>
        <v>1</v>
      </c>
      <c r="AJ26" s="36">
        <f t="shared" si="15"/>
        <v>3</v>
      </c>
      <c r="AK26" s="36">
        <f t="shared" si="16"/>
        <v>4</v>
      </c>
      <c r="AL26" s="36">
        <f t="shared" si="24"/>
        <v>2</v>
      </c>
      <c r="AM26" s="37">
        <f t="shared" si="20"/>
        <v>0</v>
      </c>
    </row>
    <row r="27" s="2" customFormat="1" ht="16.9" customHeight="1" spans="1:39">
      <c r="A27" s="39">
        <v>22</v>
      </c>
      <c r="B27" s="276" t="s">
        <v>371</v>
      </c>
      <c r="C27" s="156">
        <v>35</v>
      </c>
      <c r="D27" s="54" t="str">
        <f t="shared" si="2"/>
        <v>W</v>
      </c>
      <c r="E27" s="281">
        <v>13</v>
      </c>
      <c r="F27" s="277" t="str">
        <f t="shared" si="17"/>
        <v>W</v>
      </c>
      <c r="G27" s="156">
        <v>32</v>
      </c>
      <c r="H27" s="156" t="str">
        <f t="shared" si="3"/>
        <v>W</v>
      </c>
      <c r="I27" s="281">
        <v>23</v>
      </c>
      <c r="J27" s="124" t="str">
        <f t="shared" si="4"/>
        <v>W</v>
      </c>
      <c r="K27" s="124">
        <v>31</v>
      </c>
      <c r="L27" s="124" t="str">
        <f t="shared" si="18"/>
        <v>W</v>
      </c>
      <c r="M27" s="156">
        <v>25</v>
      </c>
      <c r="N27" s="124" t="str">
        <f t="shared" si="5"/>
        <v>W</v>
      </c>
      <c r="O27" s="156">
        <v>34</v>
      </c>
      <c r="P27" s="277" t="str">
        <f t="shared" si="6"/>
        <v>W</v>
      </c>
      <c r="Q27" s="281">
        <v>31</v>
      </c>
      <c r="R27" s="124" t="str">
        <f t="shared" si="7"/>
        <v>W</v>
      </c>
      <c r="S27" s="124">
        <v>70</v>
      </c>
      <c r="T27" s="124" t="str">
        <f t="shared" si="19"/>
        <v>B</v>
      </c>
      <c r="U27" s="282"/>
      <c r="V27" s="100"/>
      <c r="W27" s="156">
        <v>69</v>
      </c>
      <c r="X27" s="124" t="str">
        <f t="shared" si="21"/>
        <v>B</v>
      </c>
      <c r="Y27" s="282"/>
      <c r="Z27" s="100"/>
      <c r="AA27" s="156">
        <v>46</v>
      </c>
      <c r="AB27" s="124" t="str">
        <f t="shared" si="9"/>
        <v>S</v>
      </c>
      <c r="AC27" s="156">
        <v>78</v>
      </c>
      <c r="AD27" s="124" t="str">
        <f t="shared" si="10"/>
        <v>A</v>
      </c>
      <c r="AE27" s="124">
        <f t="shared" si="23"/>
        <v>487</v>
      </c>
      <c r="AF27" s="278">
        <f t="shared" si="11"/>
        <v>40.5833333333333</v>
      </c>
      <c r="AG27" s="124">
        <f t="shared" si="12"/>
        <v>12</v>
      </c>
      <c r="AH27" s="36">
        <f t="shared" si="13"/>
        <v>1</v>
      </c>
      <c r="AI27" s="36">
        <f t="shared" si="14"/>
        <v>2</v>
      </c>
      <c r="AJ27" s="36">
        <f t="shared" si="15"/>
        <v>0</v>
      </c>
      <c r="AK27" s="36">
        <f t="shared" si="16"/>
        <v>1</v>
      </c>
      <c r="AL27" s="36">
        <f t="shared" si="24"/>
        <v>8</v>
      </c>
      <c r="AM27" s="37">
        <f t="shared" si="20"/>
        <v>0</v>
      </c>
    </row>
    <row r="28" s="2" customFormat="1" ht="16.9" customHeight="1" spans="1:39">
      <c r="A28" s="24">
        <v>23</v>
      </c>
      <c r="B28" s="276" t="s">
        <v>372</v>
      </c>
      <c r="C28" s="156">
        <v>48</v>
      </c>
      <c r="D28" s="54" t="str">
        <f t="shared" si="2"/>
        <v>S</v>
      </c>
      <c r="E28" s="281">
        <v>12</v>
      </c>
      <c r="F28" s="277" t="str">
        <f t="shared" si="17"/>
        <v>W</v>
      </c>
      <c r="G28" s="156">
        <v>49</v>
      </c>
      <c r="H28" s="156" t="str">
        <f t="shared" si="3"/>
        <v>S</v>
      </c>
      <c r="I28" s="281">
        <v>27</v>
      </c>
      <c r="J28" s="124" t="str">
        <f t="shared" si="4"/>
        <v>W</v>
      </c>
      <c r="K28" s="124">
        <v>23</v>
      </c>
      <c r="L28" s="124" t="str">
        <f t="shared" si="18"/>
        <v>W</v>
      </c>
      <c r="M28" s="156">
        <v>33</v>
      </c>
      <c r="N28" s="124" t="str">
        <f t="shared" si="5"/>
        <v>W</v>
      </c>
      <c r="O28" s="156">
        <v>43</v>
      </c>
      <c r="P28" s="277" t="str">
        <f t="shared" si="6"/>
        <v>S</v>
      </c>
      <c r="Q28" s="281">
        <v>25</v>
      </c>
      <c r="R28" s="124" t="str">
        <f t="shared" si="7"/>
        <v>W</v>
      </c>
      <c r="S28" s="124">
        <v>37</v>
      </c>
      <c r="T28" s="124" t="str">
        <f t="shared" si="19"/>
        <v>W</v>
      </c>
      <c r="U28" s="156">
        <v>39</v>
      </c>
      <c r="V28" s="124" t="str">
        <f t="shared" ref="V28:V29" si="25">IF(U28&gt;=75,"A",IF(U28&gt;=65,"B",IF(U28&gt;=50,"C",IF(U28&gt;=36,"S","W"))))</f>
        <v>S</v>
      </c>
      <c r="W28" s="282"/>
      <c r="X28" s="282"/>
      <c r="Y28" s="282"/>
      <c r="Z28" s="100"/>
      <c r="AA28" s="156">
        <v>36</v>
      </c>
      <c r="AB28" s="124" t="str">
        <f t="shared" si="9"/>
        <v>W</v>
      </c>
      <c r="AC28" s="156">
        <v>93</v>
      </c>
      <c r="AD28" s="124" t="str">
        <f t="shared" si="10"/>
        <v>A</v>
      </c>
      <c r="AE28" s="124">
        <f t="shared" si="23"/>
        <v>465</v>
      </c>
      <c r="AF28" s="278">
        <f t="shared" si="11"/>
        <v>38.75</v>
      </c>
      <c r="AG28" s="124">
        <f t="shared" si="12"/>
        <v>13</v>
      </c>
      <c r="AH28" s="36">
        <f t="shared" si="13"/>
        <v>1</v>
      </c>
      <c r="AI28" s="36">
        <f t="shared" si="14"/>
        <v>0</v>
      </c>
      <c r="AJ28" s="36">
        <f t="shared" si="15"/>
        <v>0</v>
      </c>
      <c r="AK28" s="36">
        <f t="shared" si="16"/>
        <v>4</v>
      </c>
      <c r="AL28" s="36">
        <f t="shared" si="24"/>
        <v>7</v>
      </c>
      <c r="AM28" s="37">
        <f t="shared" si="20"/>
        <v>0</v>
      </c>
    </row>
    <row r="29" s="2" customFormat="1" ht="16.9" customHeight="1" spans="1:39">
      <c r="A29" s="24">
        <v>24</v>
      </c>
      <c r="B29" s="276" t="s">
        <v>373</v>
      </c>
      <c r="C29" s="156">
        <v>70</v>
      </c>
      <c r="D29" s="54" t="str">
        <f t="shared" si="2"/>
        <v>B</v>
      </c>
      <c r="E29" s="156">
        <v>54</v>
      </c>
      <c r="F29" s="277" t="str">
        <f t="shared" si="17"/>
        <v>C</v>
      </c>
      <c r="G29" s="156">
        <v>70</v>
      </c>
      <c r="H29" s="156" t="str">
        <f t="shared" si="3"/>
        <v>B</v>
      </c>
      <c r="I29" s="281">
        <v>71</v>
      </c>
      <c r="J29" s="124" t="str">
        <f t="shared" si="4"/>
        <v>B</v>
      </c>
      <c r="K29" s="124">
        <v>47</v>
      </c>
      <c r="L29" s="124" t="str">
        <f t="shared" si="18"/>
        <v>S</v>
      </c>
      <c r="M29" s="156">
        <v>50</v>
      </c>
      <c r="N29" s="124" t="str">
        <f t="shared" si="5"/>
        <v>C</v>
      </c>
      <c r="O29" s="156">
        <v>72</v>
      </c>
      <c r="P29" s="277" t="str">
        <f t="shared" si="6"/>
        <v>B</v>
      </c>
      <c r="Q29" s="156">
        <v>62</v>
      </c>
      <c r="R29" s="124" t="str">
        <f t="shared" si="7"/>
        <v>C</v>
      </c>
      <c r="S29" s="124">
        <v>82</v>
      </c>
      <c r="T29" s="124" t="str">
        <f t="shared" si="19"/>
        <v>A</v>
      </c>
      <c r="U29" s="156">
        <v>80</v>
      </c>
      <c r="V29" s="124" t="str">
        <f t="shared" si="25"/>
        <v>A</v>
      </c>
      <c r="W29" s="282"/>
      <c r="X29" s="282"/>
      <c r="Y29" s="282"/>
      <c r="Z29" s="100"/>
      <c r="AA29" s="156">
        <v>76</v>
      </c>
      <c r="AB29" s="124" t="str">
        <f t="shared" si="9"/>
        <v>A</v>
      </c>
      <c r="AC29" s="156">
        <v>98</v>
      </c>
      <c r="AD29" s="124" t="str">
        <f t="shared" si="10"/>
        <v>A</v>
      </c>
      <c r="AE29" s="124">
        <f t="shared" si="23"/>
        <v>832</v>
      </c>
      <c r="AF29" s="278">
        <f t="shared" si="11"/>
        <v>69.3333333333333</v>
      </c>
      <c r="AG29" s="124">
        <f t="shared" si="12"/>
        <v>1</v>
      </c>
      <c r="AH29" s="36">
        <f t="shared" si="13"/>
        <v>4</v>
      </c>
      <c r="AI29" s="36">
        <f t="shared" si="14"/>
        <v>4</v>
      </c>
      <c r="AJ29" s="36">
        <f t="shared" si="15"/>
        <v>3</v>
      </c>
      <c r="AK29" s="36">
        <f t="shared" si="16"/>
        <v>1</v>
      </c>
      <c r="AL29" s="36">
        <f t="shared" si="24"/>
        <v>0</v>
      </c>
      <c r="AM29" s="37">
        <f t="shared" si="20"/>
        <v>0</v>
      </c>
    </row>
    <row r="30" ht="16.9" customHeight="1" spans="1:39">
      <c r="A30" s="39">
        <v>25</v>
      </c>
      <c r="B30" s="276" t="s">
        <v>374</v>
      </c>
      <c r="C30" s="156">
        <v>47</v>
      </c>
      <c r="D30" s="54" t="str">
        <f t="shared" si="2"/>
        <v>S</v>
      </c>
      <c r="E30" s="156">
        <v>22</v>
      </c>
      <c r="F30" s="277" t="str">
        <f t="shared" si="17"/>
        <v>W</v>
      </c>
      <c r="G30" s="156">
        <v>56</v>
      </c>
      <c r="H30" s="156" t="str">
        <f t="shared" si="3"/>
        <v>C</v>
      </c>
      <c r="I30" s="281">
        <v>68</v>
      </c>
      <c r="J30" s="124" t="str">
        <f t="shared" si="4"/>
        <v>B</v>
      </c>
      <c r="K30" s="124">
        <v>30</v>
      </c>
      <c r="L30" s="124" t="str">
        <f t="shared" si="18"/>
        <v>W</v>
      </c>
      <c r="M30" s="156">
        <v>31</v>
      </c>
      <c r="N30" s="124" t="str">
        <f t="shared" si="5"/>
        <v>W</v>
      </c>
      <c r="O30" s="156">
        <v>64</v>
      </c>
      <c r="P30" s="277" t="str">
        <f t="shared" si="6"/>
        <v>C</v>
      </c>
      <c r="Q30" s="156">
        <v>31</v>
      </c>
      <c r="R30" s="124" t="str">
        <f t="shared" si="7"/>
        <v>W</v>
      </c>
      <c r="S30" s="124">
        <v>75</v>
      </c>
      <c r="T30" s="124" t="str">
        <f t="shared" si="19"/>
        <v>A</v>
      </c>
      <c r="U30" s="282"/>
      <c r="V30" s="100"/>
      <c r="W30" s="156">
        <v>67</v>
      </c>
      <c r="X30" s="124" t="str">
        <f t="shared" si="21"/>
        <v>B</v>
      </c>
      <c r="Y30" s="282"/>
      <c r="Z30" s="100"/>
      <c r="AA30" s="156">
        <v>44</v>
      </c>
      <c r="AB30" s="124" t="str">
        <f t="shared" si="9"/>
        <v>S</v>
      </c>
      <c r="AC30" s="156">
        <v>80</v>
      </c>
      <c r="AD30" s="124" t="str">
        <f t="shared" si="10"/>
        <v>A</v>
      </c>
      <c r="AE30" s="124">
        <f t="shared" si="23"/>
        <v>615</v>
      </c>
      <c r="AF30" s="278">
        <f t="shared" si="11"/>
        <v>51.25</v>
      </c>
      <c r="AG30" s="124">
        <f t="shared" si="12"/>
        <v>6</v>
      </c>
      <c r="AH30" s="36">
        <f t="shared" si="13"/>
        <v>2</v>
      </c>
      <c r="AI30" s="36">
        <f t="shared" si="14"/>
        <v>2</v>
      </c>
      <c r="AJ30" s="36">
        <f t="shared" si="15"/>
        <v>2</v>
      </c>
      <c r="AK30" s="36">
        <f t="shared" si="16"/>
        <v>2</v>
      </c>
      <c r="AL30" s="36">
        <f t="shared" si="24"/>
        <v>4</v>
      </c>
      <c r="AM30" s="37">
        <f t="shared" si="20"/>
        <v>0</v>
      </c>
    </row>
    <row r="31" ht="16.9" customHeight="1" spans="1:39">
      <c r="A31" s="24">
        <v>26</v>
      </c>
      <c r="B31" s="276" t="s">
        <v>375</v>
      </c>
      <c r="C31" s="156">
        <v>63</v>
      </c>
      <c r="D31" s="54" t="str">
        <f t="shared" si="2"/>
        <v>C</v>
      </c>
      <c r="E31" s="156">
        <v>21</v>
      </c>
      <c r="F31" s="277" t="str">
        <f t="shared" si="17"/>
        <v>W</v>
      </c>
      <c r="G31" s="156">
        <v>53</v>
      </c>
      <c r="H31" s="156" t="str">
        <f t="shared" si="3"/>
        <v>C</v>
      </c>
      <c r="I31" s="281">
        <v>42</v>
      </c>
      <c r="J31" s="124" t="str">
        <f t="shared" si="4"/>
        <v>S</v>
      </c>
      <c r="K31" s="124">
        <v>30</v>
      </c>
      <c r="L31" s="124" t="str">
        <f t="shared" si="18"/>
        <v>W</v>
      </c>
      <c r="M31" s="156">
        <v>63</v>
      </c>
      <c r="N31" s="124" t="str">
        <f t="shared" si="5"/>
        <v>C</v>
      </c>
      <c r="O31" s="156">
        <v>63</v>
      </c>
      <c r="P31" s="277" t="str">
        <f t="shared" si="6"/>
        <v>C</v>
      </c>
      <c r="Q31" s="156">
        <v>58</v>
      </c>
      <c r="R31" s="124" t="str">
        <f t="shared" si="7"/>
        <v>C</v>
      </c>
      <c r="S31" s="124">
        <v>62</v>
      </c>
      <c r="T31" s="124" t="str">
        <f t="shared" si="19"/>
        <v>C</v>
      </c>
      <c r="U31" s="282"/>
      <c r="V31" s="100"/>
      <c r="W31" s="156">
        <v>72</v>
      </c>
      <c r="X31" s="124" t="str">
        <f t="shared" si="21"/>
        <v>B</v>
      </c>
      <c r="Y31" s="282"/>
      <c r="Z31" s="100"/>
      <c r="AA31" s="156">
        <v>65</v>
      </c>
      <c r="AB31" s="124" t="str">
        <f t="shared" si="9"/>
        <v>B</v>
      </c>
      <c r="AC31" s="156">
        <v>96</v>
      </c>
      <c r="AD31" s="124" t="str">
        <f t="shared" si="10"/>
        <v>A</v>
      </c>
      <c r="AE31" s="124">
        <f t="shared" si="23"/>
        <v>688</v>
      </c>
      <c r="AF31" s="278">
        <f t="shared" si="11"/>
        <v>57.3333333333333</v>
      </c>
      <c r="AG31" s="124">
        <f t="shared" si="12"/>
        <v>3</v>
      </c>
      <c r="AH31" s="36">
        <f t="shared" si="13"/>
        <v>1</v>
      </c>
      <c r="AI31" s="36">
        <f t="shared" si="14"/>
        <v>2</v>
      </c>
      <c r="AJ31" s="36">
        <f t="shared" si="15"/>
        <v>6</v>
      </c>
      <c r="AK31" s="36">
        <f t="shared" si="16"/>
        <v>1</v>
      </c>
      <c r="AL31" s="36">
        <f t="shared" si="24"/>
        <v>2</v>
      </c>
      <c r="AM31" s="37">
        <f t="shared" si="20"/>
        <v>0</v>
      </c>
    </row>
    <row r="32" ht="16.9" customHeight="1" spans="1:39">
      <c r="A32" s="24">
        <v>27</v>
      </c>
      <c r="B32" s="276" t="s">
        <v>376</v>
      </c>
      <c r="C32" s="156">
        <v>58</v>
      </c>
      <c r="D32" s="54" t="str">
        <f t="shared" si="2"/>
        <v>C</v>
      </c>
      <c r="E32" s="156">
        <v>16</v>
      </c>
      <c r="F32" s="277" t="str">
        <f t="shared" si="17"/>
        <v>W</v>
      </c>
      <c r="G32" s="156">
        <v>43</v>
      </c>
      <c r="H32" s="156" t="str">
        <f t="shared" si="3"/>
        <v>S</v>
      </c>
      <c r="I32" s="281">
        <v>41</v>
      </c>
      <c r="J32" s="124" t="str">
        <f t="shared" si="4"/>
        <v>S</v>
      </c>
      <c r="K32" s="124">
        <v>24</v>
      </c>
      <c r="L32" s="124" t="str">
        <f t="shared" si="18"/>
        <v>W</v>
      </c>
      <c r="M32" s="279" t="s">
        <v>29</v>
      </c>
      <c r="N32" s="279" t="s">
        <v>29</v>
      </c>
      <c r="O32" s="156">
        <v>56</v>
      </c>
      <c r="P32" s="277" t="str">
        <f t="shared" si="6"/>
        <v>C</v>
      </c>
      <c r="Q32" s="156">
        <v>47</v>
      </c>
      <c r="R32" s="124" t="str">
        <f t="shared" si="7"/>
        <v>S</v>
      </c>
      <c r="S32" s="124">
        <v>27</v>
      </c>
      <c r="T32" s="124" t="str">
        <f t="shared" si="19"/>
        <v>W</v>
      </c>
      <c r="U32" s="279" t="s">
        <v>29</v>
      </c>
      <c r="V32" s="279" t="s">
        <v>29</v>
      </c>
      <c r="W32" s="282"/>
      <c r="X32" s="100"/>
      <c r="Y32" s="282"/>
      <c r="Z32" s="100"/>
      <c r="AA32" s="156">
        <v>50</v>
      </c>
      <c r="AB32" s="124" t="str">
        <f t="shared" si="9"/>
        <v>C</v>
      </c>
      <c r="AC32" s="156">
        <v>94</v>
      </c>
      <c r="AD32" s="124" t="str">
        <f t="shared" si="10"/>
        <v>A</v>
      </c>
      <c r="AE32" s="124">
        <f t="shared" si="23"/>
        <v>456</v>
      </c>
      <c r="AF32" s="278">
        <f t="shared" si="11"/>
        <v>38</v>
      </c>
      <c r="AG32" s="124">
        <f t="shared" si="12"/>
        <v>14</v>
      </c>
      <c r="AH32" s="36">
        <f t="shared" si="13"/>
        <v>1</v>
      </c>
      <c r="AI32" s="36">
        <f t="shared" si="14"/>
        <v>0</v>
      </c>
      <c r="AJ32" s="36">
        <f t="shared" si="15"/>
        <v>3</v>
      </c>
      <c r="AK32" s="36">
        <f t="shared" si="16"/>
        <v>3</v>
      </c>
      <c r="AL32" s="36">
        <f t="shared" si="24"/>
        <v>3</v>
      </c>
      <c r="AM32" s="37">
        <f t="shared" si="20"/>
        <v>2</v>
      </c>
    </row>
    <row r="33" ht="12" customHeight="1" spans="1:39">
      <c r="A33" s="53" t="s">
        <v>62</v>
      </c>
      <c r="B33" s="54"/>
      <c r="C33" s="56"/>
      <c r="D33" s="57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8"/>
      <c r="AF33" s="58"/>
      <c r="AG33" s="58"/>
      <c r="AL33" s="59"/>
      <c r="AM33" s="60"/>
    </row>
    <row r="34" ht="12" customHeight="1" spans="1:39">
      <c r="A34" s="53" t="s">
        <v>63</v>
      </c>
      <c r="B34" s="54"/>
      <c r="C34" s="56"/>
      <c r="D34" s="62">
        <f>COUNTIF(D6:D32,"A")</f>
        <v>0</v>
      </c>
      <c r="E34" s="56"/>
      <c r="F34" s="63">
        <f>COUNTIF(F6:F32,"A")</f>
        <v>0</v>
      </c>
      <c r="G34" s="56"/>
      <c r="H34" s="63">
        <f>COUNTIF(H6:H32,"A")</f>
        <v>0</v>
      </c>
      <c r="I34" s="56"/>
      <c r="J34" s="63">
        <f>COUNTIF(J6:J32,"A")</f>
        <v>0</v>
      </c>
      <c r="K34" s="63"/>
      <c r="L34" s="63">
        <f>COUNTIF(L6:L32,"A")</f>
        <v>0</v>
      </c>
      <c r="M34" s="63"/>
      <c r="N34" s="63">
        <f>COUNTIF(N6:N32,"A")</f>
        <v>0</v>
      </c>
      <c r="O34" s="63"/>
      <c r="P34" s="63">
        <f>COUNTIF(P6:P32,"A")</f>
        <v>0</v>
      </c>
      <c r="Q34" s="56"/>
      <c r="R34" s="63">
        <f>COUNTIF(R6:R32,"A")</f>
        <v>0</v>
      </c>
      <c r="S34" s="56"/>
      <c r="T34" s="63">
        <f>COUNTIF(T6:T32,"A")</f>
        <v>3</v>
      </c>
      <c r="U34" s="56"/>
      <c r="V34" s="63">
        <f>COUNTIF(V6:V32,"A")</f>
        <v>1</v>
      </c>
      <c r="W34" s="56"/>
      <c r="X34" s="63">
        <f>COUNTIF(X6:X32,"A")</f>
        <v>2</v>
      </c>
      <c r="Y34" s="56"/>
      <c r="Z34" s="63">
        <f>COUNTIF(Z6:Z32,"A")</f>
        <v>0</v>
      </c>
      <c r="AA34" s="56"/>
      <c r="AB34" s="63">
        <f>COUNTIF(AB6:AB32,"A")</f>
        <v>2</v>
      </c>
      <c r="AC34" s="56"/>
      <c r="AD34" s="63">
        <f>COUNTIF(AD6:AD32,"A")</f>
        <v>17</v>
      </c>
      <c r="AE34" s="64"/>
      <c r="AF34" s="64"/>
      <c r="AG34" s="64"/>
      <c r="AL34" s="59"/>
      <c r="AM34" s="60"/>
    </row>
    <row r="35" ht="12" customHeight="1" spans="1:39">
      <c r="A35" s="53" t="s">
        <v>64</v>
      </c>
      <c r="B35" s="54"/>
      <c r="C35" s="56"/>
      <c r="D35" s="62">
        <f>COUNTIF(D6:D32,"B")</f>
        <v>3</v>
      </c>
      <c r="E35" s="56"/>
      <c r="F35" s="63">
        <f>COUNTIF(F6:F32,"B")</f>
        <v>0</v>
      </c>
      <c r="G35" s="56"/>
      <c r="H35" s="63">
        <f>COUNTIF(H6:H32,"B")</f>
        <v>2</v>
      </c>
      <c r="I35" s="56"/>
      <c r="J35" s="63">
        <f>COUNTIF(J6:J32,"B")</f>
        <v>2</v>
      </c>
      <c r="K35" s="56"/>
      <c r="L35" s="63">
        <f>COUNTIF(L6:L32,"B")</f>
        <v>0</v>
      </c>
      <c r="M35" s="56"/>
      <c r="N35" s="63">
        <f>COUNTIF(N6:N32,"B")</f>
        <v>0</v>
      </c>
      <c r="O35" s="56"/>
      <c r="P35" s="63">
        <f>COUNTIF(P6:P32,"B")</f>
        <v>5</v>
      </c>
      <c r="Q35" s="56"/>
      <c r="R35" s="63">
        <f>COUNTIF(R6:R32,"B")</f>
        <v>0</v>
      </c>
      <c r="S35" s="56"/>
      <c r="T35" s="63">
        <f>COUNTIF(T6:T32,"B")</f>
        <v>1</v>
      </c>
      <c r="U35" s="56"/>
      <c r="V35" s="63">
        <f>COUNTIF(V6:V32,"B")</f>
        <v>0</v>
      </c>
      <c r="W35" s="56"/>
      <c r="X35" s="63">
        <f>COUNTIF(X6:X32,"B")</f>
        <v>5</v>
      </c>
      <c r="Y35" s="56"/>
      <c r="Z35" s="63">
        <f>COUNTIF(Z6:Z32,"B")</f>
        <v>0</v>
      </c>
      <c r="AA35" s="56"/>
      <c r="AB35" s="63">
        <f>COUNTIF(AB6:AB32,"B")</f>
        <v>3</v>
      </c>
      <c r="AC35" s="56"/>
      <c r="AD35" s="63">
        <f>COUNTIF(AD6:AD32,"B")</f>
        <v>2</v>
      </c>
      <c r="AE35" s="64"/>
      <c r="AF35" s="64"/>
      <c r="AG35" s="64"/>
    </row>
    <row r="36" ht="12" customHeight="1" spans="1:39">
      <c r="A36" s="53" t="s">
        <v>65</v>
      </c>
      <c r="B36" s="54"/>
      <c r="C36" s="56"/>
      <c r="D36" s="62">
        <f>COUNTIF(D6:D32,"C")</f>
        <v>6</v>
      </c>
      <c r="E36" s="56"/>
      <c r="F36" s="63">
        <f>COUNTIF(F6:F32,"C")</f>
        <v>2</v>
      </c>
      <c r="G36" s="56"/>
      <c r="H36" s="63">
        <f>COUNTIF(H6:H32,"C")</f>
        <v>9</v>
      </c>
      <c r="I36" s="56"/>
      <c r="J36" s="63">
        <f>COUNTIF(J6:J32,"C")</f>
        <v>3</v>
      </c>
      <c r="K36" s="56"/>
      <c r="L36" s="63">
        <f>COUNTIF(L6:L32,"C")</f>
        <v>0</v>
      </c>
      <c r="M36" s="56"/>
      <c r="N36" s="63">
        <f>COUNTIF(N6:N32,"C")</f>
        <v>2</v>
      </c>
      <c r="O36" s="56"/>
      <c r="P36" s="63">
        <f>COUNTIF(P6:P32,"C")</f>
        <v>6</v>
      </c>
      <c r="Q36" s="56"/>
      <c r="R36" s="63">
        <f>COUNTIF(R6:R32,"C")</f>
        <v>2</v>
      </c>
      <c r="S36" s="56"/>
      <c r="T36" s="63">
        <f>COUNTIF(T6:T32,"C")</f>
        <v>1</v>
      </c>
      <c r="U36" s="56"/>
      <c r="V36" s="63">
        <f>COUNTIF(V6:V32,"C")</f>
        <v>2</v>
      </c>
      <c r="W36" s="56"/>
      <c r="X36" s="63">
        <f>COUNTIF(X6:X32,"C")</f>
        <v>1</v>
      </c>
      <c r="Y36" s="56"/>
      <c r="Z36" s="63">
        <f>COUNTIF(Z6:Z32,"C")</f>
        <v>2</v>
      </c>
      <c r="AA36" s="56"/>
      <c r="AB36" s="63">
        <f>COUNTIF(AB6:AB32,"C")</f>
        <v>7</v>
      </c>
      <c r="AC36" s="56"/>
      <c r="AD36" s="63">
        <f>COUNTIF(AD6:AD32,"C")</f>
        <v>6</v>
      </c>
      <c r="AE36" s="64"/>
      <c r="AF36" s="64"/>
      <c r="AG36" s="64"/>
    </row>
    <row r="37" ht="12" customHeight="1" spans="1:39">
      <c r="A37" s="53" t="s">
        <v>66</v>
      </c>
      <c r="B37" s="54"/>
      <c r="C37" s="56"/>
      <c r="D37" s="62">
        <f>COUNTIF(D6:D32,"S")</f>
        <v>8</v>
      </c>
      <c r="E37" s="56"/>
      <c r="F37" s="63">
        <f>COUNTIF(F6:F32,"S")</f>
        <v>1</v>
      </c>
      <c r="G37" s="56"/>
      <c r="H37" s="63">
        <f>COUNTIF(H6:H32,"S")</f>
        <v>4</v>
      </c>
      <c r="I37" s="56"/>
      <c r="J37" s="63">
        <f>COUNTIF(J6:J32,"S")</f>
        <v>5</v>
      </c>
      <c r="K37" s="56"/>
      <c r="L37" s="63">
        <f>COUNTIF(L6:L32,"S")</f>
        <v>2</v>
      </c>
      <c r="M37" s="56"/>
      <c r="N37" s="63">
        <f>COUNTIF(N6:N32,"S")</f>
        <v>7</v>
      </c>
      <c r="O37" s="56"/>
      <c r="P37" s="63">
        <f>COUNTIF(P6:P32,"S")</f>
        <v>6</v>
      </c>
      <c r="Q37" s="56"/>
      <c r="R37" s="63">
        <f>COUNTIF(R6:R32,"S")</f>
        <v>5</v>
      </c>
      <c r="S37" s="56"/>
      <c r="T37" s="63">
        <f>COUNTIF(T6:T32,"S")</f>
        <v>2</v>
      </c>
      <c r="U37" s="56"/>
      <c r="V37" s="63">
        <f>COUNTIF(V6:V32,"S")</f>
        <v>3</v>
      </c>
      <c r="W37" s="56"/>
      <c r="X37" s="63">
        <f>COUNTIF(X6:X32,"S")</f>
        <v>1</v>
      </c>
      <c r="Y37" s="56"/>
      <c r="Z37" s="63">
        <f>COUNTIF(Z6:Z32,"S")</f>
        <v>0</v>
      </c>
      <c r="AA37" s="56"/>
      <c r="AB37" s="63">
        <f>COUNTIF(AB6:AB32,"S")</f>
        <v>4</v>
      </c>
      <c r="AC37" s="56"/>
      <c r="AD37" s="63">
        <f>COUNTIF(AD6:AD32,"S")</f>
        <v>1</v>
      </c>
      <c r="AE37" s="64"/>
      <c r="AF37" s="64"/>
      <c r="AG37" s="64"/>
    </row>
    <row r="38" ht="12" customHeight="1" spans="1:39">
      <c r="A38" s="53" t="s">
        <v>67</v>
      </c>
      <c r="B38" s="54"/>
      <c r="C38" s="56"/>
      <c r="D38" s="62">
        <f>COUNTIF(D6:D32,"W")</f>
        <v>10</v>
      </c>
      <c r="E38" s="56"/>
      <c r="F38" s="63">
        <f>COUNTIF(F6:F32,"W")</f>
        <v>23</v>
      </c>
      <c r="G38" s="56"/>
      <c r="H38" s="63">
        <f>COUNTIF(H6:H32,"W")</f>
        <v>11</v>
      </c>
      <c r="I38" s="56"/>
      <c r="J38" s="63">
        <f>COUNTIF(J6:J32,"W")</f>
        <v>17</v>
      </c>
      <c r="K38" s="56"/>
      <c r="L38" s="63">
        <f>COUNTIF(L6:L32,"W")</f>
        <v>24</v>
      </c>
      <c r="M38" s="56"/>
      <c r="N38" s="63">
        <f>COUNTIF(N6:N32,"W")</f>
        <v>17</v>
      </c>
      <c r="O38" s="56"/>
      <c r="P38" s="63">
        <f>COUNTIF(P6:P32,"W")</f>
        <v>10</v>
      </c>
      <c r="Q38" s="56"/>
      <c r="R38" s="63">
        <f>COUNTIF(R6:R32,"W")</f>
        <v>20</v>
      </c>
      <c r="S38" s="56"/>
      <c r="T38" s="63">
        <f>COUNTIF(T6:T32,"W")</f>
        <v>19</v>
      </c>
      <c r="U38" s="56"/>
      <c r="V38" s="63">
        <f>COUNTIF(V6:V32,"W")</f>
        <v>4</v>
      </c>
      <c r="W38" s="56"/>
      <c r="X38" s="63">
        <f>COUNTIF(X6:X32,"W")</f>
        <v>0</v>
      </c>
      <c r="Y38" s="56"/>
      <c r="Z38" s="63">
        <f>COUNTIF(Z6:Z32,"W")</f>
        <v>5</v>
      </c>
      <c r="AA38" s="56"/>
      <c r="AB38" s="63">
        <f>COUNTIF(AB6:AB32,"W")</f>
        <v>11</v>
      </c>
      <c r="AC38" s="56"/>
      <c r="AD38" s="63">
        <f>COUNTIF(AD6:AD32,"W")</f>
        <v>1</v>
      </c>
      <c r="AE38" s="64"/>
      <c r="AF38" s="64"/>
      <c r="AG38" s="64"/>
    </row>
    <row r="39" ht="12" customHeight="1" spans="1:39">
      <c r="A39" s="53"/>
      <c r="B39" s="54"/>
      <c r="C39" s="56"/>
      <c r="D39" s="62">
        <f>COUNTIF(D6:D32,"AB")</f>
        <v>0</v>
      </c>
      <c r="E39" s="56"/>
      <c r="F39" s="63">
        <f>COUNTIF(F6:F32,"AB")</f>
        <v>1</v>
      </c>
      <c r="G39" s="56"/>
      <c r="H39" s="63">
        <f>COUNTIF(H6:H32,"AB")</f>
        <v>1</v>
      </c>
      <c r="I39" s="56"/>
      <c r="J39" s="63">
        <f>COUNTIF(J6:J32,"AB")</f>
        <v>0</v>
      </c>
      <c r="K39" s="56"/>
      <c r="L39" s="63">
        <f>COUNTIF(L6:L32,"AB")</f>
        <v>1</v>
      </c>
      <c r="M39" s="56"/>
      <c r="N39" s="63">
        <f>COUNTIF(N6:N32,"AB")</f>
        <v>1</v>
      </c>
      <c r="O39" s="56"/>
      <c r="P39" s="63">
        <f>COUNTIF(P6:P32,"AB")</f>
        <v>0</v>
      </c>
      <c r="Q39" s="56"/>
      <c r="R39" s="63">
        <f>COUNTIF(R6:R32,"AB")</f>
        <v>0</v>
      </c>
      <c r="S39" s="56"/>
      <c r="T39" s="63">
        <f>COUNTIF(T6:T32,"AB")</f>
        <v>1</v>
      </c>
      <c r="U39" s="56"/>
      <c r="V39" s="63">
        <f>COUNTIF(V6:V32,"AB")</f>
        <v>1</v>
      </c>
      <c r="W39" s="56"/>
      <c r="X39" s="63">
        <f>COUNTIF(X6:X32,"AB")</f>
        <v>0</v>
      </c>
      <c r="Y39" s="56"/>
      <c r="Z39" s="63">
        <f>COUNTIF(Z6:Z32,"AB")</f>
        <v>0</v>
      </c>
      <c r="AA39" s="56"/>
      <c r="AB39" s="63">
        <f>COUNTIF(AB6:AB32,"AB")</f>
        <v>0</v>
      </c>
      <c r="AC39" s="56"/>
      <c r="AD39" s="63">
        <f>COUNTIF(AD6:AD32,"AB")</f>
        <v>0</v>
      </c>
      <c r="AE39" s="64"/>
      <c r="AF39" s="64"/>
      <c r="AG39" s="64"/>
    </row>
    <row r="40" ht="12" customHeight="1" spans="1:39">
      <c r="A40" s="65" t="s">
        <v>7</v>
      </c>
      <c r="B40" s="66"/>
      <c r="C40" s="68"/>
      <c r="D40" s="66">
        <f>SUM(D34:D39)</f>
        <v>27</v>
      </c>
      <c r="E40" s="68"/>
      <c r="F40" s="69">
        <f>SUM(F34:F39)</f>
        <v>27</v>
      </c>
      <c r="G40" s="68"/>
      <c r="H40" s="69">
        <f>SUM(H34:H39)</f>
        <v>27</v>
      </c>
      <c r="I40" s="68"/>
      <c r="J40" s="69">
        <f>SUM(J34:J39)</f>
        <v>27</v>
      </c>
      <c r="K40" s="68"/>
      <c r="L40" s="69">
        <f>SUM(L34:L39)</f>
        <v>27</v>
      </c>
      <c r="M40" s="68"/>
      <c r="N40" s="69">
        <f>SUM(N34:N39)</f>
        <v>27</v>
      </c>
      <c r="O40" s="68"/>
      <c r="P40" s="69">
        <f>SUM(P34:P39)</f>
        <v>27</v>
      </c>
      <c r="Q40" s="68"/>
      <c r="R40" s="69">
        <f>SUM(R34:R39)</f>
        <v>27</v>
      </c>
      <c r="S40" s="68"/>
      <c r="T40" s="69">
        <f>SUM(T34:T39)</f>
        <v>27</v>
      </c>
      <c r="U40" s="68"/>
      <c r="V40" s="69">
        <f>SUM(V34:V39)</f>
        <v>11</v>
      </c>
      <c r="W40" s="68"/>
      <c r="X40" s="69">
        <f>SUM(X34:X39)</f>
        <v>9</v>
      </c>
      <c r="Y40" s="68"/>
      <c r="Z40" s="69">
        <f>SUM(Z34:Z39)</f>
        <v>7</v>
      </c>
      <c r="AA40" s="68"/>
      <c r="AB40" s="69">
        <f>SUM(AB34:AB39)</f>
        <v>27</v>
      </c>
      <c r="AC40" s="68"/>
      <c r="AD40" s="69">
        <f>SUM(AD34:AD39)</f>
        <v>27</v>
      </c>
      <c r="AE40" s="70"/>
      <c r="AF40" s="70"/>
      <c r="AG40" s="70"/>
    </row>
    <row r="41" ht="16.9" customHeight="1" spans="1:39">
      <c r="A41" s="71"/>
      <c r="B41" s="72"/>
      <c r="C41" s="74"/>
      <c r="D41" s="75"/>
      <c r="E41" s="74"/>
      <c r="F41" s="74"/>
      <c r="G41" s="74"/>
      <c r="H41" s="74"/>
      <c r="I41" s="74"/>
      <c r="J41" s="76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</row>
    <row r="42" ht="16.9" customHeight="1" spans="1:39">
      <c r="A42" s="47"/>
      <c r="B42" s="77"/>
      <c r="C42" s="38"/>
      <c r="D42" s="79"/>
      <c r="E42" s="38"/>
      <c r="F42" s="38"/>
      <c r="G42" s="38"/>
      <c r="H42" s="38"/>
      <c r="I42" s="38"/>
      <c r="J42" s="80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</row>
    <row r="43" ht="16.9" customHeight="1"/>
    <row r="44" ht="16.9" customHeight="1"/>
    <row r="45" ht="16.9" customHeight="1"/>
    <row r="46" ht="16.9" customHeight="1"/>
  </sheetData>
  <mergeCells count="15">
    <mergeCell ref="A1:AD1"/>
    <mergeCell ref="A2:AL2"/>
    <mergeCell ref="A3:AL3"/>
    <mergeCell ref="C4:AD4"/>
    <mergeCell ref="AH4:AM4"/>
    <mergeCell ref="A33:B33"/>
    <mergeCell ref="A34:B34"/>
    <mergeCell ref="A35:B35"/>
    <mergeCell ref="A36:B36"/>
    <mergeCell ref="A37:B37"/>
    <mergeCell ref="A38:B38"/>
    <mergeCell ref="A39:B39"/>
    <mergeCell ref="A40:B40"/>
    <mergeCell ref="A4:A5"/>
    <mergeCell ref="B4:B5"/>
  </mergeCells>
  <pageMargins left="0.25" right="0.25" top="0.75" bottom="0.75" header="0.3" footer="0.3"/>
  <pageSetup paperSize="8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5"/>
  <sheetViews>
    <sheetView tabSelected="1" zoomScale="82" zoomScaleNormal="82" workbookViewId="0">
      <selection activeCell="A8" sqref="A8:AT35"/>
    </sheetView>
  </sheetViews>
  <sheetFormatPr defaultColWidth="9" defaultRowHeight="14.4"/>
  <cols>
    <col min="1" max="1" width="5.85185185185185" customWidth="1"/>
    <col min="2" max="2" width="32" customWidth="1"/>
    <col min="3" max="3" width="6" customWidth="1"/>
    <col min="4" max="37" width="3.71296296296296" customWidth="1"/>
    <col min="38" max="38" width="4.13888888888889" customWidth="1"/>
    <col min="39" max="39" width="7.71296296296296" customWidth="1"/>
    <col min="40" max="40" width="3.71296296296296" customWidth="1"/>
    <col min="41" max="41" width="4.28703703703704" customWidth="1"/>
    <col min="42" max="42" width="3.42592592592593" customWidth="1"/>
    <col min="43" max="43" width="3.28703703703704" customWidth="1"/>
    <col min="44" max="44" width="2.85185185185185" customWidth="1"/>
    <col min="45" max="45" width="3" customWidth="1"/>
    <col min="46" max="46" width="3.71296296296296" customWidth="1"/>
  </cols>
  <sheetData>
    <row r="1" ht="25.8" spans="1:46">
      <c r="A1" s="3" t="s">
        <v>377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T1" s="2"/>
    </row>
    <row r="2" ht="1.15" customHeight="1" spans="1:46">
      <c r="K2" s="1"/>
      <c r="AT2" s="2"/>
    </row>
    <row r="3" ht="21" spans="1:46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2"/>
    </row>
    <row r="4" ht="21" spans="1:46">
      <c r="A4" s="5" t="s">
        <v>378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2"/>
    </row>
    <row r="5" ht="3.6" customHeight="1" spans="1:46">
      <c r="K5" s="1"/>
      <c r="AT5" s="2"/>
    </row>
    <row r="6" ht="15.6" spans="1:46">
      <c r="A6" s="6" t="s">
        <v>3</v>
      </c>
      <c r="B6" s="7" t="s">
        <v>4</v>
      </c>
      <c r="C6" s="8" t="s">
        <v>5</v>
      </c>
      <c r="D6" s="88" t="s">
        <v>379</v>
      </c>
      <c r="E6" s="89"/>
      <c r="F6" s="89"/>
      <c r="G6" s="89"/>
      <c r="H6" s="89"/>
      <c r="I6" s="89"/>
      <c r="J6" s="89"/>
      <c r="K6" s="89"/>
      <c r="L6" s="89"/>
      <c r="M6" s="89"/>
      <c r="N6" s="89"/>
      <c r="O6" s="90"/>
      <c r="P6" s="88"/>
      <c r="Q6" s="89"/>
      <c r="R6" s="89"/>
      <c r="S6" s="89"/>
      <c r="T6" s="89"/>
      <c r="U6" s="89"/>
      <c r="V6" s="89"/>
      <c r="W6" s="90"/>
      <c r="X6" s="88"/>
      <c r="Y6" s="89"/>
      <c r="Z6" s="89"/>
      <c r="AA6" s="89"/>
      <c r="AB6" s="89"/>
      <c r="AC6" s="90"/>
      <c r="AD6" s="113"/>
      <c r="AE6" s="114"/>
      <c r="AF6" s="114"/>
      <c r="AG6" s="114"/>
      <c r="AH6" s="114"/>
      <c r="AI6" s="114"/>
      <c r="AJ6" s="114"/>
      <c r="AK6" s="114"/>
      <c r="AL6" s="91"/>
      <c r="AM6" s="91"/>
      <c r="AN6" s="91"/>
      <c r="AO6" s="115" t="s">
        <v>7</v>
      </c>
      <c r="AP6" s="115"/>
      <c r="AQ6" s="115"/>
      <c r="AR6" s="115"/>
      <c r="AS6" s="115"/>
      <c r="AT6" s="115"/>
    </row>
    <row r="7" ht="87" customHeight="1" spans="1:46">
      <c r="A7" s="6"/>
      <c r="B7" s="6"/>
      <c r="C7" s="13"/>
      <c r="D7" s="14" t="s">
        <v>8</v>
      </c>
      <c r="E7" s="15"/>
      <c r="F7" s="14" t="s">
        <v>9</v>
      </c>
      <c r="G7" s="14"/>
      <c r="H7" s="14" t="s">
        <v>10</v>
      </c>
      <c r="I7" s="14"/>
      <c r="J7" s="14" t="s">
        <v>11</v>
      </c>
      <c r="K7" s="14"/>
      <c r="L7" s="14" t="s">
        <v>12</v>
      </c>
      <c r="M7" s="14"/>
      <c r="N7" s="14" t="s">
        <v>13</v>
      </c>
      <c r="O7" s="14"/>
      <c r="P7" s="116" t="s">
        <v>14</v>
      </c>
      <c r="Q7" s="16"/>
      <c r="R7" s="16" t="s">
        <v>15</v>
      </c>
      <c r="S7" s="16"/>
      <c r="T7" s="16" t="s">
        <v>16</v>
      </c>
      <c r="U7" s="16"/>
      <c r="V7" s="16" t="s">
        <v>380</v>
      </c>
      <c r="W7" s="16"/>
      <c r="X7" s="17" t="s">
        <v>17</v>
      </c>
      <c r="Y7" s="17"/>
      <c r="Z7" s="17" t="s">
        <v>18</v>
      </c>
      <c r="AA7" s="17"/>
      <c r="AB7" s="17" t="s">
        <v>19</v>
      </c>
      <c r="AC7" s="92"/>
      <c r="AD7" s="117" t="s">
        <v>20</v>
      </c>
      <c r="AE7" s="93"/>
      <c r="AF7" s="93" t="s">
        <v>381</v>
      </c>
      <c r="AG7" s="93"/>
      <c r="AH7" s="93" t="s">
        <v>382</v>
      </c>
      <c r="AI7" s="93"/>
      <c r="AJ7" s="257" t="s">
        <v>383</v>
      </c>
      <c r="AK7" s="93"/>
      <c r="AL7" s="18" t="s">
        <v>7</v>
      </c>
      <c r="AM7" s="18" t="s">
        <v>22</v>
      </c>
      <c r="AN7" s="18" t="s">
        <v>23</v>
      </c>
      <c r="AO7" s="118" t="s">
        <v>24</v>
      </c>
      <c r="AP7" s="119" t="s">
        <v>25</v>
      </c>
      <c r="AQ7" s="120" t="s">
        <v>26</v>
      </c>
      <c r="AR7" s="119" t="s">
        <v>27</v>
      </c>
      <c r="AS7" s="121" t="s">
        <v>28</v>
      </c>
      <c r="AT7" s="122" t="s">
        <v>29</v>
      </c>
    </row>
    <row r="8" ht="15.6" spans="1:46">
      <c r="A8" s="39">
        <v>1</v>
      </c>
      <c r="B8" s="125" t="s">
        <v>384</v>
      </c>
      <c r="C8" s="236" t="s">
        <v>385</v>
      </c>
      <c r="D8" s="241">
        <v>55</v>
      </c>
      <c r="E8" s="238" t="str">
        <f>IF(D8&gt;=75,"A",IF(D8&gt;=65,"B",IF(D8&gt;=50,"C",IF(D8&gt;=36,"S","W"))))</f>
        <v>C</v>
      </c>
      <c r="F8" s="239"/>
      <c r="G8" s="240" t="str">
        <f>IF(F8&gt;=75,"A",IF(F8&gt;=65,"B",IF(F8&gt;=50,"C",IF(F8&gt;=36,"S","W"))))</f>
        <v>W</v>
      </c>
      <c r="H8" s="239"/>
      <c r="I8" s="240" t="str">
        <f>IF(H8&gt;=75,"A",IF(H8&gt;=65,"B",IF(H8&gt;=50,"C",IF(H8&gt;=36,"S","W"))))</f>
        <v>W</v>
      </c>
      <c r="J8" s="241">
        <v>57</v>
      </c>
      <c r="K8" s="240" t="str">
        <f>IF(J8&gt;=75,"A",IF(J8&gt;=65,"B",IF(J8&gt;=50,"C",IF(J8&gt;=36,"S","W"))))</f>
        <v>C</v>
      </c>
      <c r="L8" s="242">
        <v>45</v>
      </c>
      <c r="M8" s="240" t="str">
        <f>IF(L8&gt;=75,"A",IF(L8&gt;=65,"B",IF(L8&gt;=50,"C",IF(L8&gt;=36,"S","W"))))</f>
        <v>S</v>
      </c>
      <c r="N8" s="240"/>
      <c r="O8" s="242" t="str">
        <f>IF(N8&gt;=75,"A",IF(N8&gt;=65,"B",IF(N8&gt;=50,"C",IF(N8&gt;=36,"S","W"))))</f>
        <v>W</v>
      </c>
      <c r="P8" s="243"/>
      <c r="Q8" s="243"/>
      <c r="R8" s="244"/>
      <c r="S8" s="243"/>
      <c r="T8" s="244">
        <v>83</v>
      </c>
      <c r="U8" s="244" t="str">
        <f>IF(T8&gt;=75,"A",IF(T8&gt;=65,"B",IF(T8&gt;=50,"C",IF(T8&gt;=36,"S","W"))))</f>
        <v>A</v>
      </c>
      <c r="V8" s="243"/>
      <c r="W8" s="243"/>
      <c r="X8" s="245"/>
      <c r="Y8" s="246"/>
      <c r="Z8" s="246">
        <v>72</v>
      </c>
      <c r="AA8" s="246" t="str">
        <f>IF(Z8&gt;=75,"A",IF(Z8&gt;=65,"B",IF(Z8&gt;=50,"C",IF(Z8&gt;=36,"S","W"))))</f>
        <v>B</v>
      </c>
      <c r="AB8" s="246"/>
      <c r="AC8" s="246"/>
      <c r="AD8" s="258"/>
      <c r="AE8" s="197"/>
      <c r="AF8" s="197">
        <v>57</v>
      </c>
      <c r="AG8" s="197" t="str">
        <f t="shared" ref="AG8:AG35" si="0">IF(AF8&gt;=75,"A",IF(AF8&gt;=65,"B",IF(AF8&gt;=50,"C",IF(AF8&gt;=36,"S","W"))))</f>
        <v>C</v>
      </c>
      <c r="AH8" s="248"/>
      <c r="AI8" s="197"/>
      <c r="AJ8" s="197"/>
      <c r="AK8" s="197"/>
      <c r="AL8" s="198">
        <f>SUM(D8,F8,H8,J8,L8,N8,P8,R8,T8,V8,X8,Z8,AB8,AD8,AF8,AH8,AJ8)</f>
        <v>369</v>
      </c>
      <c r="AM8" s="199">
        <f t="shared" ref="AM8:AM35" si="1">AVERAGE(D8,F8,H8,J8,L8,N8,P8,R8,T8,X8,Z8,AB8,AD8,AF8)</f>
        <v>61.5</v>
      </c>
      <c r="AN8" s="198">
        <f>RANK(AL8,$AL$8:$AL$35,0)</f>
        <v>4</v>
      </c>
      <c r="AO8" s="249">
        <f t="shared" ref="AO8:AO35" si="2">COUNTIF(D8:AG8,"A")</f>
        <v>1</v>
      </c>
      <c r="AP8" s="249">
        <f t="shared" ref="AP8:AP35" si="3">COUNTIF(D8:AO8,"B")</f>
        <v>1</v>
      </c>
      <c r="AQ8" s="249">
        <f t="shared" ref="AQ8:AQ35" si="4">COUNTIF(D8:AP8,"C")</f>
        <v>3</v>
      </c>
      <c r="AR8" s="249">
        <f t="shared" ref="AR8:AR35" si="5">COUNTIF(E8:AQ8,"S")</f>
        <v>1</v>
      </c>
      <c r="AS8" s="250">
        <f t="shared" ref="AS8:AS35" si="6">COUNTIF(D8:AG8,"W")</f>
        <v>3</v>
      </c>
      <c r="AT8" s="251">
        <f t="shared" ref="AT8:AT35" si="7">(COUNTIF(D8:AK8,"AB"))/2</f>
        <v>0</v>
      </c>
    </row>
    <row r="9" ht="15.6" spans="1:46">
      <c r="A9" s="24">
        <v>2</v>
      </c>
      <c r="B9" s="125" t="s">
        <v>386</v>
      </c>
      <c r="C9" s="259" t="s">
        <v>385</v>
      </c>
      <c r="D9" s="241">
        <v>52</v>
      </c>
      <c r="E9" s="216" t="str">
        <f t="shared" ref="E9:E35" si="8">IF(D9&gt;=75,"A",IF(D9&gt;=65,"B",IF(D9&gt;=50,"C",IF(D9&gt;=36,"S","W"))))</f>
        <v>C</v>
      </c>
      <c r="F9" s="239"/>
      <c r="G9" s="240" t="str">
        <f t="shared" ref="G9:G11" si="9">IF(F9&gt;=75,"A",IF(F9&gt;=65,"B",IF(F9&gt;=50,"C",IF(F9&gt;=36,"S","W"))))</f>
        <v>W</v>
      </c>
      <c r="H9" s="239"/>
      <c r="I9" s="239" t="str">
        <f t="shared" ref="I9:I35" si="10">IF(H9&gt;=75,"A",IF(H9&gt;=65,"B",IF(H9&gt;=50,"C",IF(H9&gt;=36,"S","W"))))</f>
        <v>W</v>
      </c>
      <c r="J9" s="241">
        <v>65</v>
      </c>
      <c r="K9" s="239" t="str">
        <f t="shared" ref="K9:K35" si="11">IF(J9&gt;=75,"A",IF(J9&gt;=65,"B",IF(J9&gt;=50,"C",IF(J9&gt;=36,"S","W"))))</f>
        <v>B</v>
      </c>
      <c r="L9" s="239">
        <v>44</v>
      </c>
      <c r="M9" s="240" t="str">
        <f t="shared" ref="M9:M10" si="12">IF(L9&gt;=75,"A",IF(L9&gt;=65,"B",IF(L9&gt;=50,"C",IF(L9&gt;=36,"S","W"))))</f>
        <v>S</v>
      </c>
      <c r="N9" s="239"/>
      <c r="O9" s="252" t="str">
        <f t="shared" ref="O9:O35" si="13">IF(N9&gt;=75,"A",IF(N9&gt;=65,"B",IF(N9&gt;=50,"C",IF(N9&gt;=36,"S","W"))))</f>
        <v>W</v>
      </c>
      <c r="P9" s="243"/>
      <c r="Q9" s="243"/>
      <c r="R9" s="243"/>
      <c r="S9" s="243"/>
      <c r="T9" s="243"/>
      <c r="U9" s="244"/>
      <c r="V9" s="243"/>
      <c r="W9" s="243"/>
      <c r="X9" s="246"/>
      <c r="Y9" s="246"/>
      <c r="Z9" s="246">
        <v>82</v>
      </c>
      <c r="AA9" s="246" t="str">
        <f t="shared" ref="AA9:AA35" si="14">IF(Z9&gt;=75,"A",IF(Z9&gt;=65,"B",IF(Z9&gt;=50,"C",IF(Z9&gt;=36,"S","W"))))</f>
        <v>A</v>
      </c>
      <c r="AB9" s="246"/>
      <c r="AC9" s="246"/>
      <c r="AD9" s="258">
        <v>76</v>
      </c>
      <c r="AE9" s="197" t="str">
        <f t="shared" ref="AE9:AE34" si="15">IF(AD9&gt;=75,"A",IF(AD9&gt;=65,"B",IF(AD9&gt;=50,"C",IF(AD9&gt;=36,"S","W"))))</f>
        <v>A</v>
      </c>
      <c r="AF9" s="197"/>
      <c r="AG9" s="197"/>
      <c r="AH9" s="197"/>
      <c r="AI9" s="197"/>
      <c r="AJ9" s="197"/>
      <c r="AK9" s="197"/>
      <c r="AL9" s="198">
        <f t="shared" ref="AL9:AL35" si="16">SUM(D9,F9,H9,J9,L9,N9,P9,R9,T9,V9,X9,Z9,AB9,AD9,AF9,AH9,AJ9)</f>
        <v>319</v>
      </c>
      <c r="AM9" s="206">
        <f t="shared" si="1"/>
        <v>63.8</v>
      </c>
      <c r="AN9" s="198">
        <f t="shared" ref="AN9:AN35" si="17">RANK(AL9,$AL$8:$AL$35,0)</f>
        <v>6</v>
      </c>
      <c r="AO9" s="260">
        <f t="shared" si="2"/>
        <v>2</v>
      </c>
      <c r="AP9" s="260">
        <f t="shared" si="3"/>
        <v>1</v>
      </c>
      <c r="AQ9" s="260">
        <f t="shared" si="4"/>
        <v>1</v>
      </c>
      <c r="AR9" s="260">
        <f t="shared" si="5"/>
        <v>1</v>
      </c>
      <c r="AS9" s="261">
        <f t="shared" si="6"/>
        <v>3</v>
      </c>
      <c r="AT9" s="251">
        <f t="shared" si="7"/>
        <v>0</v>
      </c>
    </row>
    <row r="10" ht="15.6" spans="1:46">
      <c r="A10" s="39">
        <v>3</v>
      </c>
      <c r="B10" s="125" t="s">
        <v>387</v>
      </c>
      <c r="C10" s="236" t="s">
        <v>385</v>
      </c>
      <c r="D10" s="241">
        <v>34</v>
      </c>
      <c r="E10" s="238" t="str">
        <f t="shared" si="8"/>
        <v>W</v>
      </c>
      <c r="F10" s="239"/>
      <c r="G10" s="240" t="str">
        <f t="shared" si="9"/>
        <v>W</v>
      </c>
      <c r="H10" s="239"/>
      <c r="I10" s="240" t="str">
        <f t="shared" si="10"/>
        <v>W</v>
      </c>
      <c r="J10" s="241" t="s">
        <v>29</v>
      </c>
      <c r="K10" s="241" t="s">
        <v>29</v>
      </c>
      <c r="L10" s="240">
        <v>22</v>
      </c>
      <c r="M10" s="240" t="str">
        <f t="shared" si="12"/>
        <v>W</v>
      </c>
      <c r="N10" s="240"/>
      <c r="O10" s="242" t="str">
        <f t="shared" si="13"/>
        <v>W</v>
      </c>
      <c r="P10" s="243"/>
      <c r="Q10" s="243" t="str">
        <f t="shared" ref="Q10:Q34" si="18">IF(P10&gt;=75,"A",IF(P10&gt;=65,"B",IF(P10&gt;=50,"C",IF(P10&gt;=36,"S","W"))))</f>
        <v>W</v>
      </c>
      <c r="R10" s="243"/>
      <c r="S10" s="243"/>
      <c r="T10" s="243"/>
      <c r="U10" s="244"/>
      <c r="V10" s="243"/>
      <c r="W10" s="243"/>
      <c r="X10" s="246">
        <v>5</v>
      </c>
      <c r="Y10" s="246" t="str">
        <f t="shared" ref="Y10:Y29" si="19">IF(X10&gt;=75,"A",IF(X10&gt;=65,"B",IF(X10&gt;=50,"C",IF(X10&gt;=36,"S","W"))))</f>
        <v>W</v>
      </c>
      <c r="Z10" s="246"/>
      <c r="AA10" s="246"/>
      <c r="AB10" s="246"/>
      <c r="AC10" s="246"/>
      <c r="AD10" s="258">
        <v>69</v>
      </c>
      <c r="AE10" s="197" t="str">
        <f t="shared" si="15"/>
        <v>B</v>
      </c>
      <c r="AF10" s="197"/>
      <c r="AG10" s="197"/>
      <c r="AH10" s="197"/>
      <c r="AI10" s="197"/>
      <c r="AJ10" s="197"/>
      <c r="AK10" s="197"/>
      <c r="AL10" s="198">
        <f t="shared" si="16"/>
        <v>130</v>
      </c>
      <c r="AM10" s="199">
        <f t="shared" si="1"/>
        <v>32.5</v>
      </c>
      <c r="AN10" s="198">
        <f t="shared" si="17"/>
        <v>20</v>
      </c>
      <c r="AO10" s="249">
        <f t="shared" si="2"/>
        <v>0</v>
      </c>
      <c r="AP10" s="249">
        <f t="shared" si="3"/>
        <v>1</v>
      </c>
      <c r="AQ10" s="249">
        <f t="shared" si="4"/>
        <v>0</v>
      </c>
      <c r="AR10" s="249">
        <f t="shared" si="5"/>
        <v>0</v>
      </c>
      <c r="AS10" s="250">
        <f t="shared" si="6"/>
        <v>7</v>
      </c>
      <c r="AT10" s="251">
        <f t="shared" si="7"/>
        <v>1</v>
      </c>
    </row>
    <row r="11" ht="15.6" spans="1:46">
      <c r="A11" s="39">
        <v>4</v>
      </c>
      <c r="B11" s="125" t="s">
        <v>388</v>
      </c>
      <c r="C11" s="236" t="s">
        <v>385</v>
      </c>
      <c r="D11" s="241">
        <v>45</v>
      </c>
      <c r="E11" s="238" t="str">
        <f t="shared" si="8"/>
        <v>S</v>
      </c>
      <c r="F11" s="239"/>
      <c r="G11" s="240" t="str">
        <f t="shared" si="9"/>
        <v>W</v>
      </c>
      <c r="H11" s="239"/>
      <c r="I11" s="240" t="str">
        <f t="shared" si="10"/>
        <v>W</v>
      </c>
      <c r="J11" s="241">
        <v>20</v>
      </c>
      <c r="K11" s="240" t="str">
        <f t="shared" si="11"/>
        <v>W</v>
      </c>
      <c r="L11" s="239">
        <v>22</v>
      </c>
      <c r="M11" s="240" t="str">
        <f t="shared" ref="M10:M35" si="20">IF(L11&gt;=75,"A",IF(L11&gt;=65,"B",IF(L11&gt;=50,"C",IF(L11&gt;=36,"S","W"))))</f>
        <v>W</v>
      </c>
      <c r="N11" s="240"/>
      <c r="O11" s="242" t="str">
        <f t="shared" si="13"/>
        <v>W</v>
      </c>
      <c r="P11" s="243"/>
      <c r="Q11" s="243" t="str">
        <f t="shared" si="18"/>
        <v>W</v>
      </c>
      <c r="R11" s="243"/>
      <c r="S11" s="243"/>
      <c r="T11" s="243"/>
      <c r="U11" s="244"/>
      <c r="V11" s="243"/>
      <c r="W11" s="243"/>
      <c r="X11" s="246">
        <v>26</v>
      </c>
      <c r="Y11" s="246" t="str">
        <f t="shared" si="19"/>
        <v>W</v>
      </c>
      <c r="Z11" s="246"/>
      <c r="AA11" s="246"/>
      <c r="AB11" s="246"/>
      <c r="AC11" s="246"/>
      <c r="AD11" s="258"/>
      <c r="AE11" s="197"/>
      <c r="AF11" s="197"/>
      <c r="AG11" s="197"/>
      <c r="AH11" s="197"/>
      <c r="AI11" s="197"/>
      <c r="AJ11" s="197"/>
      <c r="AK11" s="197"/>
      <c r="AL11" s="198">
        <f t="shared" si="16"/>
        <v>113</v>
      </c>
      <c r="AM11" s="199">
        <f t="shared" si="1"/>
        <v>28.25</v>
      </c>
      <c r="AN11" s="198">
        <f t="shared" si="17"/>
        <v>23</v>
      </c>
      <c r="AO11" s="249">
        <f t="shared" si="2"/>
        <v>0</v>
      </c>
      <c r="AP11" s="249">
        <f t="shared" si="3"/>
        <v>0</v>
      </c>
      <c r="AQ11" s="249">
        <f t="shared" si="4"/>
        <v>0</v>
      </c>
      <c r="AR11" s="249">
        <f t="shared" si="5"/>
        <v>1</v>
      </c>
      <c r="AS11" s="250">
        <f t="shared" si="6"/>
        <v>7</v>
      </c>
      <c r="AT11" s="251">
        <f t="shared" si="7"/>
        <v>0</v>
      </c>
    </row>
    <row r="12" ht="15.6" spans="1:46">
      <c r="A12" s="24">
        <v>5</v>
      </c>
      <c r="B12" s="125" t="s">
        <v>389</v>
      </c>
      <c r="C12" s="236" t="s">
        <v>385</v>
      </c>
      <c r="D12" s="241" t="s">
        <v>29</v>
      </c>
      <c r="E12" s="241" t="s">
        <v>29</v>
      </c>
      <c r="F12" s="239"/>
      <c r="G12" s="240" t="str">
        <f t="shared" ref="G10:G35" si="21">IF(F12&gt;=75,"A",IF(F12&gt;=65,"B",IF(F12&gt;=50,"C",IF(F12&gt;=36,"S","W"))))</f>
        <v>W</v>
      </c>
      <c r="H12" s="239"/>
      <c r="I12" s="240" t="str">
        <f t="shared" si="10"/>
        <v>W</v>
      </c>
      <c r="J12" s="241">
        <v>4</v>
      </c>
      <c r="K12" s="240" t="str">
        <f t="shared" si="11"/>
        <v>W</v>
      </c>
      <c r="L12" s="239">
        <v>10</v>
      </c>
      <c r="M12" s="240" t="str">
        <f t="shared" si="20"/>
        <v>W</v>
      </c>
      <c r="N12" s="240"/>
      <c r="O12" s="242" t="str">
        <f t="shared" si="13"/>
        <v>W</v>
      </c>
      <c r="P12" s="243"/>
      <c r="Q12" s="243"/>
      <c r="R12" s="243"/>
      <c r="S12" s="243"/>
      <c r="T12" s="243"/>
      <c r="U12" s="244"/>
      <c r="V12" s="243"/>
      <c r="W12" s="243"/>
      <c r="X12" s="246">
        <v>2</v>
      </c>
      <c r="Y12" s="246" t="str">
        <f t="shared" si="19"/>
        <v>W</v>
      </c>
      <c r="Z12" s="246"/>
      <c r="AA12" s="246"/>
      <c r="AB12" s="246"/>
      <c r="AC12" s="246"/>
      <c r="AD12" s="258"/>
      <c r="AE12" s="258"/>
      <c r="AF12" s="197"/>
      <c r="AG12" s="197"/>
      <c r="AH12" s="197"/>
      <c r="AI12" s="197"/>
      <c r="AJ12" s="197"/>
      <c r="AK12" s="197"/>
      <c r="AL12" s="198">
        <f t="shared" si="16"/>
        <v>16</v>
      </c>
      <c r="AM12" s="199">
        <f t="shared" si="1"/>
        <v>5.33333333333333</v>
      </c>
      <c r="AN12" s="198">
        <f t="shared" si="17"/>
        <v>27</v>
      </c>
      <c r="AO12" s="249">
        <f t="shared" si="2"/>
        <v>0</v>
      </c>
      <c r="AP12" s="249">
        <f t="shared" si="3"/>
        <v>0</v>
      </c>
      <c r="AQ12" s="249">
        <f t="shared" si="4"/>
        <v>0</v>
      </c>
      <c r="AR12" s="249">
        <f t="shared" si="5"/>
        <v>0</v>
      </c>
      <c r="AS12" s="250">
        <f t="shared" si="6"/>
        <v>6</v>
      </c>
      <c r="AT12" s="251">
        <f t="shared" si="7"/>
        <v>1</v>
      </c>
    </row>
    <row r="13" ht="15.6" spans="1:46">
      <c r="A13" s="39">
        <v>6</v>
      </c>
      <c r="B13" s="125" t="s">
        <v>390</v>
      </c>
      <c r="C13" s="236" t="s">
        <v>385</v>
      </c>
      <c r="D13" s="241">
        <v>32</v>
      </c>
      <c r="E13" s="238" t="str">
        <f t="shared" si="8"/>
        <v>W</v>
      </c>
      <c r="F13" s="239"/>
      <c r="G13" s="240" t="str">
        <f t="shared" si="21"/>
        <v>W</v>
      </c>
      <c r="H13" s="239"/>
      <c r="I13" s="240" t="str">
        <f t="shared" si="10"/>
        <v>W</v>
      </c>
      <c r="J13" s="241">
        <v>37</v>
      </c>
      <c r="K13" s="240" t="str">
        <f t="shared" si="11"/>
        <v>S</v>
      </c>
      <c r="L13" s="239" t="s">
        <v>29</v>
      </c>
      <c r="M13" s="239" t="s">
        <v>29</v>
      </c>
      <c r="N13" s="240"/>
      <c r="O13" s="242" t="str">
        <f t="shared" si="13"/>
        <v>W</v>
      </c>
      <c r="P13" s="243"/>
      <c r="Q13" s="243" t="str">
        <f t="shared" si="18"/>
        <v>W</v>
      </c>
      <c r="R13" s="243"/>
      <c r="S13" s="243"/>
      <c r="T13" s="243"/>
      <c r="U13" s="244"/>
      <c r="V13" s="243"/>
      <c r="W13" s="243"/>
      <c r="X13" s="246"/>
      <c r="Y13" s="246"/>
      <c r="Z13" s="246"/>
      <c r="AA13" s="246"/>
      <c r="AB13" s="246"/>
      <c r="AC13" s="246"/>
      <c r="AD13" s="258">
        <v>56</v>
      </c>
      <c r="AE13" s="197" t="str">
        <f t="shared" si="15"/>
        <v>C</v>
      </c>
      <c r="AF13" s="197"/>
      <c r="AG13" s="197"/>
      <c r="AH13" s="197"/>
      <c r="AI13" s="197"/>
      <c r="AJ13" s="197"/>
      <c r="AK13" s="197"/>
      <c r="AL13" s="198">
        <f t="shared" si="16"/>
        <v>125</v>
      </c>
      <c r="AM13" s="199">
        <f t="shared" si="1"/>
        <v>41.6666666666667</v>
      </c>
      <c r="AN13" s="198">
        <f t="shared" si="17"/>
        <v>21</v>
      </c>
      <c r="AO13" s="249">
        <f t="shared" si="2"/>
        <v>0</v>
      </c>
      <c r="AP13" s="249">
        <f t="shared" si="3"/>
        <v>0</v>
      </c>
      <c r="AQ13" s="249">
        <f t="shared" si="4"/>
        <v>1</v>
      </c>
      <c r="AR13" s="249">
        <f t="shared" si="5"/>
        <v>1</v>
      </c>
      <c r="AS13" s="250">
        <f t="shared" si="6"/>
        <v>5</v>
      </c>
      <c r="AT13" s="251">
        <f t="shared" si="7"/>
        <v>1</v>
      </c>
    </row>
    <row r="14" ht="15.6" spans="1:46">
      <c r="A14" s="39">
        <v>7</v>
      </c>
      <c r="B14" s="125" t="s">
        <v>391</v>
      </c>
      <c r="C14" s="236" t="s">
        <v>385</v>
      </c>
      <c r="D14" s="241">
        <v>50</v>
      </c>
      <c r="E14" s="238" t="str">
        <f t="shared" si="8"/>
        <v>C</v>
      </c>
      <c r="F14" s="239"/>
      <c r="G14" s="240" t="str">
        <f t="shared" si="21"/>
        <v>W</v>
      </c>
      <c r="H14" s="239"/>
      <c r="I14" s="240" t="str">
        <f t="shared" si="10"/>
        <v>W</v>
      </c>
      <c r="J14" s="241">
        <v>46</v>
      </c>
      <c r="K14" s="240" t="str">
        <f t="shared" si="11"/>
        <v>S</v>
      </c>
      <c r="L14" s="239">
        <v>27</v>
      </c>
      <c r="M14" s="240" t="str">
        <f t="shared" si="20"/>
        <v>W</v>
      </c>
      <c r="N14" s="240"/>
      <c r="O14" s="242" t="str">
        <f t="shared" si="13"/>
        <v>W</v>
      </c>
      <c r="P14" s="243"/>
      <c r="Q14" s="243" t="str">
        <f t="shared" si="18"/>
        <v>W</v>
      </c>
      <c r="R14" s="243"/>
      <c r="S14" s="243"/>
      <c r="T14" s="243"/>
      <c r="U14" s="244"/>
      <c r="V14" s="243"/>
      <c r="W14" s="243"/>
      <c r="X14" s="246"/>
      <c r="Y14" s="246"/>
      <c r="Z14" s="246"/>
      <c r="AA14" s="246"/>
      <c r="AB14" s="246">
        <v>40</v>
      </c>
      <c r="AC14" s="246" t="str">
        <f>IF(AB14&gt;=75,"A",IF(AB14&gt;=65,"B",IF(AB14&gt;=50,"C",IF(AB14&gt;=36,"S","W"))))</f>
        <v>S</v>
      </c>
      <c r="AD14" s="258">
        <v>60</v>
      </c>
      <c r="AE14" s="197" t="str">
        <f t="shared" si="15"/>
        <v>C</v>
      </c>
      <c r="AF14" s="197"/>
      <c r="AG14" s="197"/>
      <c r="AH14" s="197"/>
      <c r="AI14" s="197"/>
      <c r="AJ14" s="197"/>
      <c r="AK14" s="197"/>
      <c r="AL14" s="198">
        <f t="shared" si="16"/>
        <v>223</v>
      </c>
      <c r="AM14" s="199">
        <f t="shared" si="1"/>
        <v>44.6</v>
      </c>
      <c r="AN14" s="198">
        <f t="shared" si="17"/>
        <v>14</v>
      </c>
      <c r="AO14" s="249">
        <f t="shared" si="2"/>
        <v>0</v>
      </c>
      <c r="AP14" s="249">
        <f t="shared" si="3"/>
        <v>0</v>
      </c>
      <c r="AQ14" s="249">
        <f t="shared" si="4"/>
        <v>2</v>
      </c>
      <c r="AR14" s="249">
        <f t="shared" si="5"/>
        <v>2</v>
      </c>
      <c r="AS14" s="250">
        <f t="shared" si="6"/>
        <v>5</v>
      </c>
      <c r="AT14" s="251">
        <f t="shared" si="7"/>
        <v>0</v>
      </c>
    </row>
    <row r="15" ht="15.6" spans="1:46">
      <c r="A15" s="24">
        <v>8</v>
      </c>
      <c r="B15" s="125" t="s">
        <v>392</v>
      </c>
      <c r="C15" s="236" t="s">
        <v>385</v>
      </c>
      <c r="D15" s="241">
        <v>58</v>
      </c>
      <c r="E15" s="238" t="str">
        <f t="shared" si="8"/>
        <v>C</v>
      </c>
      <c r="F15" s="239"/>
      <c r="G15" s="240" t="str">
        <f t="shared" si="21"/>
        <v>W</v>
      </c>
      <c r="H15" s="239"/>
      <c r="I15" s="240" t="str">
        <f t="shared" si="10"/>
        <v>W</v>
      </c>
      <c r="J15" s="241">
        <v>44</v>
      </c>
      <c r="K15" s="240" t="str">
        <f t="shared" si="11"/>
        <v>S</v>
      </c>
      <c r="L15" s="240">
        <v>44</v>
      </c>
      <c r="M15" s="240" t="str">
        <f t="shared" si="20"/>
        <v>S</v>
      </c>
      <c r="N15" s="240"/>
      <c r="O15" s="242" t="str">
        <f t="shared" si="13"/>
        <v>W</v>
      </c>
      <c r="P15" s="243"/>
      <c r="Q15" s="243" t="str">
        <f t="shared" si="18"/>
        <v>W</v>
      </c>
      <c r="R15" s="243"/>
      <c r="S15" s="243"/>
      <c r="T15" s="243"/>
      <c r="U15" s="244"/>
      <c r="V15" s="243"/>
      <c r="W15" s="243"/>
      <c r="X15" s="246"/>
      <c r="Y15" s="246"/>
      <c r="Z15" s="246"/>
      <c r="AA15" s="246"/>
      <c r="AB15" s="246">
        <v>83</v>
      </c>
      <c r="AC15" s="246" t="str">
        <f>IF(AB15&gt;=75,"A",IF(AB15&gt;=65,"B",IF(AB15&gt;=50,"C",IF(AB15&gt;=36,"S","W"))))</f>
        <v>A</v>
      </c>
      <c r="AD15" s="258">
        <v>65</v>
      </c>
      <c r="AE15" s="197" t="str">
        <f t="shared" si="15"/>
        <v>B</v>
      </c>
      <c r="AF15" s="197"/>
      <c r="AG15" s="197"/>
      <c r="AH15" s="197"/>
      <c r="AI15" s="197"/>
      <c r="AJ15" s="197"/>
      <c r="AK15" s="197"/>
      <c r="AL15" s="198">
        <f t="shared" si="16"/>
        <v>294</v>
      </c>
      <c r="AM15" s="199">
        <f t="shared" si="1"/>
        <v>58.8</v>
      </c>
      <c r="AN15" s="198">
        <f t="shared" si="17"/>
        <v>8</v>
      </c>
      <c r="AO15" s="249">
        <f t="shared" si="2"/>
        <v>1</v>
      </c>
      <c r="AP15" s="249">
        <f t="shared" si="3"/>
        <v>1</v>
      </c>
      <c r="AQ15" s="249">
        <f t="shared" si="4"/>
        <v>1</v>
      </c>
      <c r="AR15" s="249">
        <f t="shared" si="5"/>
        <v>2</v>
      </c>
      <c r="AS15" s="250">
        <f t="shared" si="6"/>
        <v>4</v>
      </c>
      <c r="AT15" s="251">
        <f t="shared" si="7"/>
        <v>0</v>
      </c>
    </row>
    <row r="16" ht="15.6" spans="1:46">
      <c r="A16" s="39">
        <v>9</v>
      </c>
      <c r="B16" s="125" t="s">
        <v>393</v>
      </c>
      <c r="C16" s="236" t="s">
        <v>385</v>
      </c>
      <c r="D16" s="241">
        <v>38</v>
      </c>
      <c r="E16" s="238" t="str">
        <f t="shared" si="8"/>
        <v>S</v>
      </c>
      <c r="F16" s="239"/>
      <c r="G16" s="240" t="str">
        <f t="shared" si="21"/>
        <v>W</v>
      </c>
      <c r="H16" s="239"/>
      <c r="I16" s="240" t="str">
        <f t="shared" si="10"/>
        <v>W</v>
      </c>
      <c r="J16" s="241">
        <v>32</v>
      </c>
      <c r="K16" s="240" t="str">
        <f t="shared" si="11"/>
        <v>W</v>
      </c>
      <c r="L16" s="240">
        <v>9</v>
      </c>
      <c r="M16" s="240" t="str">
        <f t="shared" si="20"/>
        <v>W</v>
      </c>
      <c r="N16" s="240"/>
      <c r="O16" s="242" t="str">
        <f t="shared" si="13"/>
        <v>W</v>
      </c>
      <c r="P16" s="243"/>
      <c r="Q16" s="243" t="str">
        <f t="shared" si="18"/>
        <v>W</v>
      </c>
      <c r="R16" s="243"/>
      <c r="S16" s="243"/>
      <c r="T16" s="243"/>
      <c r="U16" s="244"/>
      <c r="V16" s="243"/>
      <c r="W16" s="243"/>
      <c r="X16" s="246">
        <v>33</v>
      </c>
      <c r="Y16" s="246" t="str">
        <f t="shared" si="19"/>
        <v>W</v>
      </c>
      <c r="Z16" s="246"/>
      <c r="AA16" s="246"/>
      <c r="AB16" s="246"/>
      <c r="AC16" s="246"/>
      <c r="AD16" s="258"/>
      <c r="AE16" s="197"/>
      <c r="AF16" s="197">
        <v>48</v>
      </c>
      <c r="AG16" s="197" t="str">
        <f t="shared" si="0"/>
        <v>S</v>
      </c>
      <c r="AH16" s="197"/>
      <c r="AI16" s="197"/>
      <c r="AJ16" s="197"/>
      <c r="AK16" s="197"/>
      <c r="AL16" s="198">
        <f t="shared" si="16"/>
        <v>160</v>
      </c>
      <c r="AM16" s="199">
        <f t="shared" si="1"/>
        <v>32</v>
      </c>
      <c r="AN16" s="198">
        <f t="shared" si="17"/>
        <v>17</v>
      </c>
      <c r="AO16" s="249">
        <f t="shared" si="2"/>
        <v>0</v>
      </c>
      <c r="AP16" s="249">
        <f t="shared" si="3"/>
        <v>0</v>
      </c>
      <c r="AQ16" s="249">
        <f t="shared" si="4"/>
        <v>0</v>
      </c>
      <c r="AR16" s="249">
        <f t="shared" si="5"/>
        <v>2</v>
      </c>
      <c r="AS16" s="250">
        <f t="shared" si="6"/>
        <v>7</v>
      </c>
      <c r="AT16" s="251">
        <f t="shared" si="7"/>
        <v>0</v>
      </c>
    </row>
    <row r="17" ht="15.6" spans="1:46">
      <c r="A17" s="39">
        <v>10</v>
      </c>
      <c r="B17" s="125" t="s">
        <v>394</v>
      </c>
      <c r="C17" s="236" t="s">
        <v>385</v>
      </c>
      <c r="D17" s="241">
        <v>54</v>
      </c>
      <c r="E17" s="238" t="str">
        <f t="shared" si="8"/>
        <v>C</v>
      </c>
      <c r="F17" s="239"/>
      <c r="G17" s="240" t="str">
        <f t="shared" si="21"/>
        <v>W</v>
      </c>
      <c r="H17" s="239"/>
      <c r="I17" s="240" t="str">
        <f t="shared" si="10"/>
        <v>W</v>
      </c>
      <c r="J17" s="241">
        <v>52</v>
      </c>
      <c r="K17" s="240" t="str">
        <f t="shared" si="11"/>
        <v>C</v>
      </c>
      <c r="L17" s="239">
        <v>35</v>
      </c>
      <c r="M17" s="240" t="str">
        <f t="shared" si="20"/>
        <v>W</v>
      </c>
      <c r="N17" s="240"/>
      <c r="O17" s="242" t="str">
        <f t="shared" si="13"/>
        <v>W</v>
      </c>
      <c r="P17" s="243"/>
      <c r="Q17" s="243" t="str">
        <f t="shared" si="18"/>
        <v>W</v>
      </c>
      <c r="R17" s="243"/>
      <c r="S17" s="243"/>
      <c r="T17" s="243"/>
      <c r="U17" s="244"/>
      <c r="V17" s="243"/>
      <c r="W17" s="243"/>
      <c r="X17" s="246"/>
      <c r="Y17" s="246"/>
      <c r="Z17" s="246"/>
      <c r="AA17" s="246"/>
      <c r="AB17" s="246">
        <v>60</v>
      </c>
      <c r="AC17" s="246" t="str">
        <f>IF(AB17&gt;=75,"A",IF(AB17&gt;=65,"B",IF(AB17&gt;=50,"C",IF(AB17&gt;=36,"S","W"))))</f>
        <v>C</v>
      </c>
      <c r="AD17" s="258">
        <v>72</v>
      </c>
      <c r="AE17" s="197" t="str">
        <f t="shared" si="15"/>
        <v>B</v>
      </c>
      <c r="AF17" s="197"/>
      <c r="AG17" s="197"/>
      <c r="AH17" s="197"/>
      <c r="AI17" s="197"/>
      <c r="AJ17" s="197"/>
      <c r="AK17" s="197"/>
      <c r="AL17" s="198">
        <f t="shared" si="16"/>
        <v>273</v>
      </c>
      <c r="AM17" s="199">
        <f t="shared" si="1"/>
        <v>54.6</v>
      </c>
      <c r="AN17" s="198">
        <f t="shared" si="17"/>
        <v>10</v>
      </c>
      <c r="AO17" s="249">
        <f t="shared" si="2"/>
        <v>0</v>
      </c>
      <c r="AP17" s="249">
        <f t="shared" si="3"/>
        <v>1</v>
      </c>
      <c r="AQ17" s="249">
        <f t="shared" si="4"/>
        <v>3</v>
      </c>
      <c r="AR17" s="249">
        <f t="shared" si="5"/>
        <v>0</v>
      </c>
      <c r="AS17" s="250">
        <f t="shared" si="6"/>
        <v>5</v>
      </c>
      <c r="AT17" s="251">
        <f t="shared" si="7"/>
        <v>0</v>
      </c>
    </row>
    <row r="18" ht="15.6" spans="1:46">
      <c r="A18" s="24">
        <v>11</v>
      </c>
      <c r="B18" s="125" t="s">
        <v>395</v>
      </c>
      <c r="C18" s="236" t="s">
        <v>385</v>
      </c>
      <c r="D18" s="241">
        <v>56</v>
      </c>
      <c r="E18" s="238" t="str">
        <f t="shared" si="8"/>
        <v>C</v>
      </c>
      <c r="F18" s="239"/>
      <c r="G18" s="240" t="str">
        <f t="shared" si="21"/>
        <v>W</v>
      </c>
      <c r="H18" s="239"/>
      <c r="I18" s="240" t="str">
        <f t="shared" si="10"/>
        <v>W</v>
      </c>
      <c r="J18" s="241">
        <v>65</v>
      </c>
      <c r="K18" s="240" t="str">
        <f t="shared" si="11"/>
        <v>B</v>
      </c>
      <c r="L18" s="239">
        <v>42</v>
      </c>
      <c r="M18" s="240" t="str">
        <f t="shared" si="20"/>
        <v>S</v>
      </c>
      <c r="N18" s="240"/>
      <c r="O18" s="242" t="str">
        <f t="shared" si="13"/>
        <v>W</v>
      </c>
      <c r="P18" s="243"/>
      <c r="Q18" s="243"/>
      <c r="R18" s="243"/>
      <c r="S18" s="243"/>
      <c r="T18" s="243"/>
      <c r="U18" s="244"/>
      <c r="V18" s="243">
        <v>65</v>
      </c>
      <c r="W18" s="243" t="str">
        <f t="shared" ref="W18" si="22">IF(V18&gt;=75,"A",IF(V18&gt;=65,"B",IF(V18&gt;=50,"C",IF(V18&gt;=36,"S","W"))))</f>
        <v>B</v>
      </c>
      <c r="X18" s="246"/>
      <c r="Y18" s="246"/>
      <c r="Z18" s="246">
        <v>71</v>
      </c>
      <c r="AA18" s="246" t="str">
        <f>IF(Z18&gt;=75,"A",IF(Z18&gt;=65,"B",IF(Z18&gt;=50,"C",IF(Z18&gt;=36,"S","W"))))</f>
        <v>B</v>
      </c>
      <c r="AB18" s="246"/>
      <c r="AC18" s="246"/>
      <c r="AD18" s="258">
        <v>63</v>
      </c>
      <c r="AE18" s="197" t="str">
        <f t="shared" si="15"/>
        <v>C</v>
      </c>
      <c r="AF18" s="197"/>
      <c r="AG18" s="197"/>
      <c r="AH18" s="197"/>
      <c r="AI18" s="197"/>
      <c r="AJ18" s="197"/>
      <c r="AK18" s="197"/>
      <c r="AL18" s="198">
        <f t="shared" si="16"/>
        <v>362</v>
      </c>
      <c r="AM18" s="199">
        <f t="shared" si="1"/>
        <v>59.4</v>
      </c>
      <c r="AN18" s="198">
        <f t="shared" si="17"/>
        <v>5</v>
      </c>
      <c r="AO18" s="249">
        <f t="shared" si="2"/>
        <v>0</v>
      </c>
      <c r="AP18" s="249">
        <f t="shared" si="3"/>
        <v>3</v>
      </c>
      <c r="AQ18" s="249">
        <f t="shared" si="4"/>
        <v>2</v>
      </c>
      <c r="AR18" s="249">
        <f t="shared" si="5"/>
        <v>1</v>
      </c>
      <c r="AS18" s="250">
        <f t="shared" si="6"/>
        <v>3</v>
      </c>
      <c r="AT18" s="251">
        <f t="shared" si="7"/>
        <v>0</v>
      </c>
    </row>
    <row r="19" ht="15.6" spans="1:46">
      <c r="A19" s="39">
        <v>12</v>
      </c>
      <c r="B19" s="125" t="s">
        <v>396</v>
      </c>
      <c r="C19" s="236" t="s">
        <v>385</v>
      </c>
      <c r="D19" s="241" t="s">
        <v>29</v>
      </c>
      <c r="E19" s="241" t="s">
        <v>29</v>
      </c>
      <c r="F19" s="239"/>
      <c r="G19" s="240" t="str">
        <f t="shared" si="21"/>
        <v>W</v>
      </c>
      <c r="H19" s="239"/>
      <c r="I19" s="240" t="str">
        <f t="shared" si="10"/>
        <v>W</v>
      </c>
      <c r="J19" s="241">
        <v>16</v>
      </c>
      <c r="K19" s="240" t="str">
        <f t="shared" si="11"/>
        <v>W</v>
      </c>
      <c r="L19" s="239" t="s">
        <v>29</v>
      </c>
      <c r="M19" s="239" t="s">
        <v>29</v>
      </c>
      <c r="N19" s="240"/>
      <c r="O19" s="242" t="str">
        <f t="shared" si="13"/>
        <v>W</v>
      </c>
      <c r="P19" s="243"/>
      <c r="Q19" s="243"/>
      <c r="R19" s="243"/>
      <c r="S19" s="243"/>
      <c r="T19" s="243"/>
      <c r="U19" s="244"/>
      <c r="V19" s="243"/>
      <c r="W19" s="243"/>
      <c r="X19" s="246">
        <v>29</v>
      </c>
      <c r="Y19" s="246" t="str">
        <f t="shared" si="19"/>
        <v>W</v>
      </c>
      <c r="Z19" s="246"/>
      <c r="AA19" s="246"/>
      <c r="AB19" s="246"/>
      <c r="AC19" s="246"/>
      <c r="AD19" s="258">
        <v>42</v>
      </c>
      <c r="AE19" s="197" t="str">
        <f t="shared" si="15"/>
        <v>S</v>
      </c>
      <c r="AF19" s="197"/>
      <c r="AG19" s="197"/>
      <c r="AH19" s="197"/>
      <c r="AI19" s="197"/>
      <c r="AJ19" s="197"/>
      <c r="AK19" s="197"/>
      <c r="AL19" s="198">
        <f t="shared" si="16"/>
        <v>87</v>
      </c>
      <c r="AM19" s="199">
        <f t="shared" si="1"/>
        <v>29</v>
      </c>
      <c r="AN19" s="198">
        <f t="shared" si="17"/>
        <v>26</v>
      </c>
      <c r="AO19" s="249">
        <f t="shared" si="2"/>
        <v>0</v>
      </c>
      <c r="AP19" s="249">
        <f t="shared" si="3"/>
        <v>0</v>
      </c>
      <c r="AQ19" s="249">
        <f t="shared" si="4"/>
        <v>0</v>
      </c>
      <c r="AR19" s="249">
        <f t="shared" si="5"/>
        <v>1</v>
      </c>
      <c r="AS19" s="250">
        <f t="shared" si="6"/>
        <v>5</v>
      </c>
      <c r="AT19" s="251">
        <f t="shared" si="7"/>
        <v>2</v>
      </c>
    </row>
    <row r="20" ht="15.6" spans="1:46">
      <c r="A20" s="39">
        <v>13</v>
      </c>
      <c r="B20" s="125" t="s">
        <v>397</v>
      </c>
      <c r="C20" s="236" t="s">
        <v>385</v>
      </c>
      <c r="D20" s="241">
        <v>38</v>
      </c>
      <c r="E20" s="238" t="str">
        <f t="shared" si="8"/>
        <v>S</v>
      </c>
      <c r="F20" s="239"/>
      <c r="G20" s="240" t="str">
        <f t="shared" si="21"/>
        <v>W</v>
      </c>
      <c r="H20" s="239"/>
      <c r="I20" s="240" t="str">
        <f t="shared" si="10"/>
        <v>W</v>
      </c>
      <c r="J20" s="241">
        <v>43</v>
      </c>
      <c r="K20" s="240" t="str">
        <f t="shared" si="11"/>
        <v>S</v>
      </c>
      <c r="L20" s="239" t="s">
        <v>29</v>
      </c>
      <c r="M20" s="239" t="s">
        <v>29</v>
      </c>
      <c r="N20" s="240"/>
      <c r="O20" s="242" t="str">
        <f t="shared" si="13"/>
        <v>W</v>
      </c>
      <c r="P20" s="243"/>
      <c r="Q20" s="243"/>
      <c r="R20" s="243"/>
      <c r="S20" s="243"/>
      <c r="T20" s="243"/>
      <c r="U20" s="244"/>
      <c r="V20" s="243"/>
      <c r="W20" s="243"/>
      <c r="X20" s="246"/>
      <c r="Y20" s="246"/>
      <c r="Z20" s="246"/>
      <c r="AA20" s="246"/>
      <c r="AB20" s="246"/>
      <c r="AC20" s="246"/>
      <c r="AD20" s="258">
        <v>57</v>
      </c>
      <c r="AE20" s="197" t="str">
        <f t="shared" si="15"/>
        <v>C</v>
      </c>
      <c r="AF20" s="197"/>
      <c r="AG20" s="197"/>
      <c r="AH20" s="197"/>
      <c r="AI20" s="197"/>
      <c r="AJ20" s="197"/>
      <c r="AK20" s="197"/>
      <c r="AL20" s="198">
        <f t="shared" si="16"/>
        <v>138</v>
      </c>
      <c r="AM20" s="199">
        <f t="shared" si="1"/>
        <v>46</v>
      </c>
      <c r="AN20" s="198">
        <f t="shared" si="17"/>
        <v>19</v>
      </c>
      <c r="AO20" s="249">
        <f t="shared" si="2"/>
        <v>0</v>
      </c>
      <c r="AP20" s="249">
        <f t="shared" si="3"/>
        <v>0</v>
      </c>
      <c r="AQ20" s="249">
        <f t="shared" si="4"/>
        <v>1</v>
      </c>
      <c r="AR20" s="249">
        <f t="shared" si="5"/>
        <v>2</v>
      </c>
      <c r="AS20" s="250">
        <f t="shared" si="6"/>
        <v>3</v>
      </c>
      <c r="AT20" s="251">
        <f t="shared" si="7"/>
        <v>1</v>
      </c>
    </row>
    <row r="21" ht="15.6" spans="1:46">
      <c r="A21" s="24">
        <v>14</v>
      </c>
      <c r="B21" s="125" t="s">
        <v>398</v>
      </c>
      <c r="C21" s="236" t="s">
        <v>385</v>
      </c>
      <c r="D21" s="241">
        <v>45</v>
      </c>
      <c r="E21" s="238" t="str">
        <f t="shared" si="8"/>
        <v>S</v>
      </c>
      <c r="F21" s="239"/>
      <c r="G21" s="240" t="str">
        <f t="shared" si="21"/>
        <v>W</v>
      </c>
      <c r="H21" s="239"/>
      <c r="I21" s="240" t="str">
        <f t="shared" si="10"/>
        <v>W</v>
      </c>
      <c r="J21" s="241">
        <v>48</v>
      </c>
      <c r="K21" s="240" t="str">
        <f t="shared" si="11"/>
        <v>S</v>
      </c>
      <c r="L21" s="239">
        <v>34</v>
      </c>
      <c r="M21" s="240" t="str">
        <f t="shared" si="20"/>
        <v>W</v>
      </c>
      <c r="N21" s="240"/>
      <c r="O21" s="242" t="str">
        <f t="shared" si="13"/>
        <v>W</v>
      </c>
      <c r="P21" s="243"/>
      <c r="Q21" s="243"/>
      <c r="R21" s="243"/>
      <c r="S21" s="243"/>
      <c r="T21" s="243"/>
      <c r="U21" s="244"/>
      <c r="V21" s="243"/>
      <c r="W21" s="243"/>
      <c r="X21" s="246"/>
      <c r="Y21" s="246"/>
      <c r="Z21" s="246">
        <v>56</v>
      </c>
      <c r="AA21" s="246" t="str">
        <f t="shared" ref="AA19:AA25" si="23">IF(Z21&gt;=75,"A",IF(Z21&gt;=65,"B",IF(Z21&gt;=50,"C",IF(Z21&gt;=36,"S","W"))))</f>
        <v>C</v>
      </c>
      <c r="AB21" s="246"/>
      <c r="AC21" s="246"/>
      <c r="AD21" s="258">
        <v>66</v>
      </c>
      <c r="AE21" s="197" t="str">
        <f t="shared" si="15"/>
        <v>B</v>
      </c>
      <c r="AF21" s="197"/>
      <c r="AG21" s="197"/>
      <c r="AH21" s="197"/>
      <c r="AI21" s="197"/>
      <c r="AJ21" s="197"/>
      <c r="AK21" s="197"/>
      <c r="AL21" s="198">
        <f t="shared" si="16"/>
        <v>249</v>
      </c>
      <c r="AM21" s="199">
        <f t="shared" si="1"/>
        <v>49.8</v>
      </c>
      <c r="AN21" s="198">
        <f t="shared" si="17"/>
        <v>13</v>
      </c>
      <c r="AO21" s="249">
        <f t="shared" si="2"/>
        <v>0</v>
      </c>
      <c r="AP21" s="249">
        <f t="shared" si="3"/>
        <v>1</v>
      </c>
      <c r="AQ21" s="249">
        <f t="shared" si="4"/>
        <v>1</v>
      </c>
      <c r="AR21" s="249">
        <f t="shared" si="5"/>
        <v>2</v>
      </c>
      <c r="AS21" s="250">
        <f t="shared" si="6"/>
        <v>4</v>
      </c>
      <c r="AT21" s="251">
        <f t="shared" si="7"/>
        <v>0</v>
      </c>
    </row>
    <row r="22" ht="15.6" spans="1:46">
      <c r="A22" s="39">
        <v>15</v>
      </c>
      <c r="B22" s="125" t="s">
        <v>399</v>
      </c>
      <c r="C22" s="236" t="s">
        <v>385</v>
      </c>
      <c r="D22" s="241">
        <v>35</v>
      </c>
      <c r="E22" s="238" t="str">
        <f t="shared" si="8"/>
        <v>W</v>
      </c>
      <c r="F22" s="239"/>
      <c r="G22" s="240" t="str">
        <f t="shared" si="21"/>
        <v>W</v>
      </c>
      <c r="H22" s="239"/>
      <c r="I22" s="240" t="str">
        <f t="shared" si="10"/>
        <v>W</v>
      </c>
      <c r="J22" s="241">
        <v>25</v>
      </c>
      <c r="K22" s="240" t="str">
        <f t="shared" si="11"/>
        <v>W</v>
      </c>
      <c r="L22" s="240">
        <v>11</v>
      </c>
      <c r="M22" s="240" t="str">
        <f t="shared" si="20"/>
        <v>W</v>
      </c>
      <c r="N22" s="240"/>
      <c r="O22" s="242" t="str">
        <f t="shared" si="13"/>
        <v>W</v>
      </c>
      <c r="P22" s="243"/>
      <c r="Q22" s="243" t="str">
        <f t="shared" si="18"/>
        <v>W</v>
      </c>
      <c r="R22" s="243"/>
      <c r="S22" s="243"/>
      <c r="T22" s="243"/>
      <c r="U22" s="244"/>
      <c r="V22" s="243"/>
      <c r="W22" s="243"/>
      <c r="X22" s="246"/>
      <c r="Y22" s="246"/>
      <c r="Z22" s="246">
        <v>40</v>
      </c>
      <c r="AA22" s="246" t="str">
        <f t="shared" si="23"/>
        <v>S</v>
      </c>
      <c r="AB22" s="246"/>
      <c r="AC22" s="246"/>
      <c r="AD22" s="258">
        <v>29</v>
      </c>
      <c r="AE22" s="197" t="str">
        <f t="shared" si="15"/>
        <v>W</v>
      </c>
      <c r="AF22" s="197"/>
      <c r="AG22" s="197"/>
      <c r="AH22" s="247"/>
      <c r="AI22" s="197"/>
      <c r="AJ22" s="197"/>
      <c r="AK22" s="197"/>
      <c r="AL22" s="198">
        <f t="shared" si="16"/>
        <v>140</v>
      </c>
      <c r="AM22" s="199">
        <f t="shared" si="1"/>
        <v>28</v>
      </c>
      <c r="AN22" s="198">
        <f t="shared" si="17"/>
        <v>18</v>
      </c>
      <c r="AO22" s="249">
        <f t="shared" si="2"/>
        <v>0</v>
      </c>
      <c r="AP22" s="249">
        <f t="shared" si="3"/>
        <v>0</v>
      </c>
      <c r="AQ22" s="249">
        <f t="shared" si="4"/>
        <v>0</v>
      </c>
      <c r="AR22" s="249">
        <f t="shared" si="5"/>
        <v>1</v>
      </c>
      <c r="AS22" s="250">
        <f t="shared" si="6"/>
        <v>8</v>
      </c>
      <c r="AT22" s="251">
        <f t="shared" si="7"/>
        <v>0</v>
      </c>
    </row>
    <row r="23" ht="15.6" spans="1:46">
      <c r="A23" s="39">
        <v>16</v>
      </c>
      <c r="B23" s="125" t="s">
        <v>400</v>
      </c>
      <c r="C23" s="236" t="s">
        <v>385</v>
      </c>
      <c r="D23" s="241" t="s">
        <v>29</v>
      </c>
      <c r="E23" s="241" t="s">
        <v>29</v>
      </c>
      <c r="F23" s="239"/>
      <c r="G23" s="240" t="str">
        <f t="shared" si="21"/>
        <v>W</v>
      </c>
      <c r="H23" s="239"/>
      <c r="I23" s="240" t="str">
        <f t="shared" si="10"/>
        <v>W</v>
      </c>
      <c r="J23" s="239" t="s">
        <v>29</v>
      </c>
      <c r="K23" s="239" t="s">
        <v>29</v>
      </c>
      <c r="L23" s="239" t="s">
        <v>29</v>
      </c>
      <c r="M23" s="239" t="s">
        <v>29</v>
      </c>
      <c r="N23" s="240"/>
      <c r="O23" s="242" t="str">
        <f t="shared" si="13"/>
        <v>W</v>
      </c>
      <c r="P23" s="243"/>
      <c r="Q23" s="243"/>
      <c r="R23" s="243"/>
      <c r="S23" s="243"/>
      <c r="T23" s="243"/>
      <c r="U23" s="244"/>
      <c r="V23" s="243"/>
      <c r="W23" s="243"/>
      <c r="X23" s="246"/>
      <c r="Y23" s="246"/>
      <c r="Z23" s="246"/>
      <c r="AA23" s="246"/>
      <c r="AB23" s="246"/>
      <c r="AC23" s="246"/>
      <c r="AD23" s="258"/>
      <c r="AE23" s="258"/>
      <c r="AF23" s="197"/>
      <c r="AG23" s="197"/>
      <c r="AH23" s="247"/>
      <c r="AI23" s="197"/>
      <c r="AJ23" s="197"/>
      <c r="AK23" s="197"/>
      <c r="AL23" s="198">
        <f t="shared" si="16"/>
        <v>0</v>
      </c>
      <c r="AM23" s="199" t="e">
        <f t="shared" si="1"/>
        <v>#DIV/0!</v>
      </c>
      <c r="AN23" s="198">
        <f t="shared" si="17"/>
        <v>28</v>
      </c>
      <c r="AO23" s="249">
        <f t="shared" si="2"/>
        <v>0</v>
      </c>
      <c r="AP23" s="249">
        <f t="shared" si="3"/>
        <v>0</v>
      </c>
      <c r="AQ23" s="249">
        <f t="shared" si="4"/>
        <v>0</v>
      </c>
      <c r="AR23" s="249">
        <f t="shared" si="5"/>
        <v>0</v>
      </c>
      <c r="AS23" s="250">
        <f t="shared" si="6"/>
        <v>3</v>
      </c>
      <c r="AT23" s="251">
        <f t="shared" si="7"/>
        <v>3</v>
      </c>
    </row>
    <row r="24" ht="15.6" spans="1:46">
      <c r="A24" s="24">
        <v>17</v>
      </c>
      <c r="B24" s="125" t="s">
        <v>401</v>
      </c>
      <c r="C24" s="236" t="s">
        <v>385</v>
      </c>
      <c r="D24" s="241">
        <v>28</v>
      </c>
      <c r="E24" s="238" t="str">
        <f t="shared" si="8"/>
        <v>W</v>
      </c>
      <c r="F24" s="239"/>
      <c r="G24" s="240" t="str">
        <f t="shared" si="21"/>
        <v>W</v>
      </c>
      <c r="H24" s="239"/>
      <c r="I24" s="240" t="str">
        <f t="shared" si="10"/>
        <v>W</v>
      </c>
      <c r="J24" s="241">
        <v>26</v>
      </c>
      <c r="K24" s="240" t="str">
        <f t="shared" si="11"/>
        <v>W</v>
      </c>
      <c r="L24" s="241">
        <v>21</v>
      </c>
      <c r="M24" s="240" t="str">
        <f t="shared" si="20"/>
        <v>W</v>
      </c>
      <c r="N24" s="240"/>
      <c r="O24" s="242" t="str">
        <f t="shared" si="13"/>
        <v>W</v>
      </c>
      <c r="P24" s="243"/>
      <c r="Q24" s="243" t="str">
        <f t="shared" si="18"/>
        <v>W</v>
      </c>
      <c r="R24" s="243"/>
      <c r="S24" s="243"/>
      <c r="T24" s="243"/>
      <c r="U24" s="244"/>
      <c r="V24" s="243"/>
      <c r="W24" s="243"/>
      <c r="X24" s="246">
        <v>22</v>
      </c>
      <c r="Y24" s="246" t="str">
        <f t="shared" si="19"/>
        <v>W</v>
      </c>
      <c r="Z24" s="246"/>
      <c r="AA24" s="246"/>
      <c r="AB24" s="246"/>
      <c r="AC24" s="246"/>
      <c r="AD24" s="258">
        <v>26</v>
      </c>
      <c r="AE24" s="197" t="str">
        <f t="shared" si="15"/>
        <v>W</v>
      </c>
      <c r="AF24" s="197"/>
      <c r="AG24" s="197"/>
      <c r="AH24" s="197"/>
      <c r="AI24" s="197"/>
      <c r="AJ24" s="197"/>
      <c r="AK24" s="197"/>
      <c r="AL24" s="198">
        <f t="shared" si="16"/>
        <v>123</v>
      </c>
      <c r="AM24" s="199">
        <f t="shared" si="1"/>
        <v>24.6</v>
      </c>
      <c r="AN24" s="198">
        <f t="shared" si="17"/>
        <v>22</v>
      </c>
      <c r="AO24" s="249">
        <f t="shared" si="2"/>
        <v>0</v>
      </c>
      <c r="AP24" s="249">
        <f t="shared" si="3"/>
        <v>0</v>
      </c>
      <c r="AQ24" s="249">
        <f t="shared" si="4"/>
        <v>0</v>
      </c>
      <c r="AR24" s="249">
        <f t="shared" si="5"/>
        <v>0</v>
      </c>
      <c r="AS24" s="250">
        <f t="shared" si="6"/>
        <v>9</v>
      </c>
      <c r="AT24" s="251">
        <f t="shared" si="7"/>
        <v>0</v>
      </c>
    </row>
    <row r="25" ht="15.6" spans="1:46">
      <c r="A25" s="39">
        <v>18</v>
      </c>
      <c r="B25" s="125" t="s">
        <v>402</v>
      </c>
      <c r="C25" s="236" t="s">
        <v>385</v>
      </c>
      <c r="D25" s="241">
        <v>46</v>
      </c>
      <c r="E25" s="238" t="str">
        <f t="shared" si="8"/>
        <v>S</v>
      </c>
      <c r="F25" s="239"/>
      <c r="G25" s="240" t="str">
        <f t="shared" si="21"/>
        <v>W</v>
      </c>
      <c r="H25" s="239"/>
      <c r="I25" s="240" t="str">
        <f t="shared" si="10"/>
        <v>W</v>
      </c>
      <c r="J25" s="241">
        <v>76</v>
      </c>
      <c r="K25" s="240" t="str">
        <f t="shared" si="11"/>
        <v>A</v>
      </c>
      <c r="L25" s="241">
        <v>31</v>
      </c>
      <c r="M25" s="240" t="str">
        <f t="shared" si="20"/>
        <v>W</v>
      </c>
      <c r="N25" s="240"/>
      <c r="O25" s="242" t="str">
        <f t="shared" si="13"/>
        <v>W</v>
      </c>
      <c r="P25" s="243"/>
      <c r="Q25" s="243" t="str">
        <f t="shared" si="18"/>
        <v>W</v>
      </c>
      <c r="R25" s="243"/>
      <c r="S25" s="243"/>
      <c r="T25" s="243"/>
      <c r="U25" s="244"/>
      <c r="V25" s="243"/>
      <c r="W25" s="243"/>
      <c r="X25" s="246"/>
      <c r="Y25" s="246"/>
      <c r="Z25" s="246">
        <v>61</v>
      </c>
      <c r="AA25" s="246" t="str">
        <f t="shared" si="23"/>
        <v>C</v>
      </c>
      <c r="AB25" s="246"/>
      <c r="AC25" s="246"/>
      <c r="AD25" s="258">
        <v>63</v>
      </c>
      <c r="AE25" s="197" t="str">
        <f t="shared" si="15"/>
        <v>C</v>
      </c>
      <c r="AF25" s="197"/>
      <c r="AG25" s="197"/>
      <c r="AH25" s="247"/>
      <c r="AI25" s="197"/>
      <c r="AJ25" s="197"/>
      <c r="AK25" s="197"/>
      <c r="AL25" s="198">
        <f t="shared" si="16"/>
        <v>277</v>
      </c>
      <c r="AM25" s="199">
        <f t="shared" si="1"/>
        <v>55.4</v>
      </c>
      <c r="AN25" s="198">
        <f t="shared" si="17"/>
        <v>9</v>
      </c>
      <c r="AO25" s="249">
        <f t="shared" si="2"/>
        <v>1</v>
      </c>
      <c r="AP25" s="249">
        <f t="shared" si="3"/>
        <v>0</v>
      </c>
      <c r="AQ25" s="249">
        <f t="shared" si="4"/>
        <v>2</v>
      </c>
      <c r="AR25" s="249">
        <f t="shared" si="5"/>
        <v>1</v>
      </c>
      <c r="AS25" s="250">
        <f t="shared" si="6"/>
        <v>5</v>
      </c>
      <c r="AT25" s="251">
        <f t="shared" si="7"/>
        <v>0</v>
      </c>
    </row>
    <row r="26" ht="15.6" spans="1:46">
      <c r="A26" s="39">
        <v>19</v>
      </c>
      <c r="B26" s="125" t="s">
        <v>403</v>
      </c>
      <c r="C26" s="236" t="s">
        <v>385</v>
      </c>
      <c r="D26" s="241">
        <v>59</v>
      </c>
      <c r="E26" s="238" t="str">
        <f t="shared" si="8"/>
        <v>C</v>
      </c>
      <c r="F26" s="239"/>
      <c r="G26" s="240" t="str">
        <f t="shared" si="21"/>
        <v>W</v>
      </c>
      <c r="H26" s="239"/>
      <c r="I26" s="240" t="str">
        <f t="shared" si="10"/>
        <v>W</v>
      </c>
      <c r="J26" s="241">
        <v>29</v>
      </c>
      <c r="K26" s="240" t="str">
        <f t="shared" si="11"/>
        <v>W</v>
      </c>
      <c r="L26" s="240">
        <v>39</v>
      </c>
      <c r="M26" s="240" t="str">
        <f t="shared" si="20"/>
        <v>S</v>
      </c>
      <c r="N26" s="240"/>
      <c r="O26" s="242" t="str">
        <f t="shared" si="13"/>
        <v>W</v>
      </c>
      <c r="P26" s="243"/>
      <c r="Q26" s="243" t="str">
        <f t="shared" si="18"/>
        <v>W</v>
      </c>
      <c r="R26" s="243"/>
      <c r="S26" s="243"/>
      <c r="T26" s="243"/>
      <c r="U26" s="244"/>
      <c r="V26" s="243"/>
      <c r="W26" s="243"/>
      <c r="X26" s="246"/>
      <c r="Y26" s="246"/>
      <c r="Z26" s="246"/>
      <c r="AA26" s="246"/>
      <c r="AB26" s="246">
        <v>73</v>
      </c>
      <c r="AC26" s="246" t="str">
        <f t="shared" ref="AC26:AC34" si="24">IF(AB26&gt;=75,"A",IF(AB26&gt;=65,"B",IF(AB26&gt;=50,"C",IF(AB26&gt;=36,"S","W"))))</f>
        <v>B</v>
      </c>
      <c r="AD26" s="258"/>
      <c r="AE26" s="197"/>
      <c r="AF26" s="197"/>
      <c r="AG26" s="197"/>
      <c r="AH26" s="247">
        <v>62</v>
      </c>
      <c r="AI26" s="197" t="str">
        <f t="shared" ref="AI26" si="25">IF(AH26&gt;=75,"A",IF(AH26&gt;=65,"B",IF(AH26&gt;=50,"C",IF(AH26&gt;=36,"S","W"))))</f>
        <v>C</v>
      </c>
      <c r="AJ26" s="197"/>
      <c r="AK26" s="197"/>
      <c r="AL26" s="198">
        <f t="shared" si="16"/>
        <v>262</v>
      </c>
      <c r="AM26" s="199">
        <f t="shared" si="1"/>
        <v>50</v>
      </c>
      <c r="AN26" s="198">
        <f t="shared" si="17"/>
        <v>11</v>
      </c>
      <c r="AO26" s="249">
        <f t="shared" si="2"/>
        <v>0</v>
      </c>
      <c r="AP26" s="249">
        <f t="shared" si="3"/>
        <v>1</v>
      </c>
      <c r="AQ26" s="249">
        <f t="shared" si="4"/>
        <v>2</v>
      </c>
      <c r="AR26" s="249">
        <f t="shared" si="5"/>
        <v>1</v>
      </c>
      <c r="AS26" s="250">
        <f t="shared" si="6"/>
        <v>5</v>
      </c>
      <c r="AT26" s="251">
        <f t="shared" si="7"/>
        <v>0</v>
      </c>
    </row>
    <row r="27" ht="15.6" spans="1:46">
      <c r="A27" s="24">
        <v>20</v>
      </c>
      <c r="B27" s="125" t="s">
        <v>404</v>
      </c>
      <c r="C27" s="236" t="s">
        <v>385</v>
      </c>
      <c r="D27" s="241">
        <v>35</v>
      </c>
      <c r="E27" s="238" t="str">
        <f t="shared" si="8"/>
        <v>W</v>
      </c>
      <c r="F27" s="239"/>
      <c r="G27" s="240" t="str">
        <f t="shared" si="21"/>
        <v>W</v>
      </c>
      <c r="H27" s="239"/>
      <c r="I27" s="240" t="str">
        <f t="shared" si="10"/>
        <v>W</v>
      </c>
      <c r="J27" s="241">
        <v>20</v>
      </c>
      <c r="K27" s="240" t="str">
        <f t="shared" si="11"/>
        <v>W</v>
      </c>
      <c r="L27" s="240">
        <v>19</v>
      </c>
      <c r="M27" s="240" t="str">
        <f t="shared" si="20"/>
        <v>W</v>
      </c>
      <c r="N27" s="240"/>
      <c r="O27" s="242" t="str">
        <f t="shared" si="13"/>
        <v>W</v>
      </c>
      <c r="P27" s="243"/>
      <c r="Q27" s="243"/>
      <c r="R27" s="243"/>
      <c r="S27" s="243"/>
      <c r="T27" s="243"/>
      <c r="U27" s="244"/>
      <c r="V27" s="243"/>
      <c r="W27" s="243"/>
      <c r="X27" s="246"/>
      <c r="Y27" s="246"/>
      <c r="Z27" s="246">
        <v>43</v>
      </c>
      <c r="AA27" s="246" t="str">
        <f t="shared" si="14"/>
        <v>S</v>
      </c>
      <c r="AB27" s="246"/>
      <c r="AC27" s="246"/>
      <c r="AD27" s="258"/>
      <c r="AE27" s="197"/>
      <c r="AF27" s="197"/>
      <c r="AG27" s="197"/>
      <c r="AH27" s="247"/>
      <c r="AI27" s="197"/>
      <c r="AJ27" s="197">
        <v>53</v>
      </c>
      <c r="AK27" s="197" t="str">
        <f t="shared" ref="AK27:AK33" si="26">IF(AJ27&gt;=75,"A",IF(AJ27&gt;=65,"B",IF(AJ27&gt;=50,"C",IF(AJ27&gt;=36,"S","W"))))</f>
        <v>C</v>
      </c>
      <c r="AL27" s="198">
        <f t="shared" si="16"/>
        <v>170</v>
      </c>
      <c r="AM27" s="199">
        <f t="shared" si="1"/>
        <v>29.25</v>
      </c>
      <c r="AN27" s="198">
        <f t="shared" si="17"/>
        <v>16</v>
      </c>
      <c r="AO27" s="249">
        <f t="shared" si="2"/>
        <v>0</v>
      </c>
      <c r="AP27" s="249">
        <f t="shared" si="3"/>
        <v>0</v>
      </c>
      <c r="AQ27" s="249">
        <f t="shared" si="4"/>
        <v>1</v>
      </c>
      <c r="AR27" s="249">
        <f t="shared" si="5"/>
        <v>1</v>
      </c>
      <c r="AS27" s="250">
        <f t="shared" si="6"/>
        <v>6</v>
      </c>
      <c r="AT27" s="251">
        <f t="shared" si="7"/>
        <v>0</v>
      </c>
    </row>
    <row r="28" ht="15.6" spans="1:46">
      <c r="A28" s="39">
        <v>21</v>
      </c>
      <c r="B28" s="125" t="s">
        <v>405</v>
      </c>
      <c r="C28" s="236" t="s">
        <v>385</v>
      </c>
      <c r="D28" s="241">
        <v>55</v>
      </c>
      <c r="E28" s="238" t="str">
        <f t="shared" si="8"/>
        <v>C</v>
      </c>
      <c r="F28" s="239"/>
      <c r="G28" s="240" t="str">
        <f t="shared" si="21"/>
        <v>W</v>
      </c>
      <c r="H28" s="239"/>
      <c r="I28" s="240" t="str">
        <f t="shared" si="10"/>
        <v>W</v>
      </c>
      <c r="J28" s="241">
        <v>57</v>
      </c>
      <c r="K28" s="240" t="str">
        <f t="shared" si="11"/>
        <v>C</v>
      </c>
      <c r="L28" s="240">
        <v>25</v>
      </c>
      <c r="M28" s="240" t="str">
        <f t="shared" si="20"/>
        <v>W</v>
      </c>
      <c r="N28" s="240"/>
      <c r="O28" s="242" t="str">
        <f t="shared" si="13"/>
        <v>W</v>
      </c>
      <c r="P28" s="243"/>
      <c r="Q28" s="243"/>
      <c r="R28" s="243"/>
      <c r="S28" s="243"/>
      <c r="T28" s="243">
        <v>67</v>
      </c>
      <c r="U28" s="244" t="str">
        <f>IF(T28&gt;=75,"A",IF(T28&gt;=65,"B",IF(T28&gt;=50,"C",IF(T28&gt;=36,"S","W"))))</f>
        <v>B</v>
      </c>
      <c r="V28" s="243"/>
      <c r="W28" s="243"/>
      <c r="X28" s="246"/>
      <c r="Y28" s="246"/>
      <c r="Z28" s="246">
        <v>76</v>
      </c>
      <c r="AA28" s="246" t="str">
        <f t="shared" si="14"/>
        <v>A</v>
      </c>
      <c r="AB28" s="246"/>
      <c r="AC28" s="246"/>
      <c r="AD28" s="258"/>
      <c r="AE28" s="197"/>
      <c r="AF28" s="197">
        <v>32</v>
      </c>
      <c r="AG28" s="197" t="str">
        <f t="shared" si="0"/>
        <v>W</v>
      </c>
      <c r="AH28" s="247"/>
      <c r="AI28" s="197"/>
      <c r="AJ28" s="197"/>
      <c r="AK28" s="197"/>
      <c r="AL28" s="198">
        <f t="shared" si="16"/>
        <v>312</v>
      </c>
      <c r="AM28" s="199">
        <f t="shared" si="1"/>
        <v>52</v>
      </c>
      <c r="AN28" s="198">
        <f t="shared" si="17"/>
        <v>7</v>
      </c>
      <c r="AO28" s="249">
        <f t="shared" si="2"/>
        <v>1</v>
      </c>
      <c r="AP28" s="249">
        <f t="shared" si="3"/>
        <v>1</v>
      </c>
      <c r="AQ28" s="249">
        <f t="shared" si="4"/>
        <v>2</v>
      </c>
      <c r="AR28" s="249">
        <f t="shared" si="5"/>
        <v>0</v>
      </c>
      <c r="AS28" s="250">
        <f t="shared" si="6"/>
        <v>5</v>
      </c>
      <c r="AT28" s="251">
        <f t="shared" si="7"/>
        <v>0</v>
      </c>
    </row>
    <row r="29" ht="15.6" spans="1:46">
      <c r="A29" s="39">
        <v>22</v>
      </c>
      <c r="B29" s="125" t="s">
        <v>406</v>
      </c>
      <c r="C29" s="236" t="s">
        <v>385</v>
      </c>
      <c r="D29" s="241">
        <v>24</v>
      </c>
      <c r="E29" s="238" t="str">
        <f t="shared" si="8"/>
        <v>W</v>
      </c>
      <c r="F29" s="239"/>
      <c r="G29" s="240" t="str">
        <f t="shared" si="21"/>
        <v>W</v>
      </c>
      <c r="H29" s="239"/>
      <c r="I29" s="240" t="str">
        <f t="shared" si="10"/>
        <v>W</v>
      </c>
      <c r="J29" s="241">
        <v>12</v>
      </c>
      <c r="K29" s="240" t="str">
        <f t="shared" si="11"/>
        <v>W</v>
      </c>
      <c r="L29" s="240">
        <v>16</v>
      </c>
      <c r="M29" s="240" t="str">
        <f t="shared" si="20"/>
        <v>W</v>
      </c>
      <c r="N29" s="240"/>
      <c r="O29" s="242" t="str">
        <f t="shared" si="13"/>
        <v>W</v>
      </c>
      <c r="P29" s="243"/>
      <c r="Q29" s="243" t="str">
        <f t="shared" si="18"/>
        <v>W</v>
      </c>
      <c r="R29" s="243"/>
      <c r="S29" s="243"/>
      <c r="T29" s="243"/>
      <c r="U29" s="244"/>
      <c r="V29" s="243"/>
      <c r="W29" s="243"/>
      <c r="X29" s="246">
        <v>18</v>
      </c>
      <c r="Y29" s="246" t="str">
        <f t="shared" si="19"/>
        <v>W</v>
      </c>
      <c r="Z29" s="246"/>
      <c r="AA29" s="246"/>
      <c r="AB29" s="246"/>
      <c r="AC29" s="246"/>
      <c r="AD29" s="258"/>
      <c r="AE29" s="197"/>
      <c r="AF29" s="197"/>
      <c r="AG29" s="197"/>
      <c r="AH29" s="247"/>
      <c r="AI29" s="197"/>
      <c r="AJ29" s="197">
        <v>28</v>
      </c>
      <c r="AK29" s="197" t="str">
        <f t="shared" si="26"/>
        <v>W</v>
      </c>
      <c r="AL29" s="198">
        <f t="shared" si="16"/>
        <v>98</v>
      </c>
      <c r="AM29" s="199">
        <f t="shared" si="1"/>
        <v>17.5</v>
      </c>
      <c r="AN29" s="198">
        <f t="shared" si="17"/>
        <v>24</v>
      </c>
      <c r="AO29" s="249">
        <f t="shared" si="2"/>
        <v>0</v>
      </c>
      <c r="AP29" s="249">
        <f t="shared" si="3"/>
        <v>0</v>
      </c>
      <c r="AQ29" s="249">
        <f t="shared" si="4"/>
        <v>0</v>
      </c>
      <c r="AR29" s="249">
        <f t="shared" si="5"/>
        <v>0</v>
      </c>
      <c r="AS29" s="250">
        <f t="shared" si="6"/>
        <v>8</v>
      </c>
      <c r="AT29" s="251">
        <f t="shared" si="7"/>
        <v>0</v>
      </c>
    </row>
    <row r="30" ht="15.6" spans="1:46">
      <c r="A30" s="24">
        <v>23</v>
      </c>
      <c r="B30" s="125" t="s">
        <v>407</v>
      </c>
      <c r="C30" s="236" t="s">
        <v>385</v>
      </c>
      <c r="D30" s="241">
        <v>58</v>
      </c>
      <c r="E30" s="238" t="str">
        <f t="shared" si="8"/>
        <v>C</v>
      </c>
      <c r="F30" s="239"/>
      <c r="G30" s="240" t="str">
        <f t="shared" si="21"/>
        <v>W</v>
      </c>
      <c r="H30" s="239"/>
      <c r="I30" s="240" t="str">
        <f t="shared" si="10"/>
        <v>W</v>
      </c>
      <c r="J30" s="241">
        <v>43</v>
      </c>
      <c r="K30" s="240" t="str">
        <f t="shared" si="11"/>
        <v>S</v>
      </c>
      <c r="L30" s="240">
        <v>44</v>
      </c>
      <c r="M30" s="240" t="str">
        <f t="shared" si="20"/>
        <v>S</v>
      </c>
      <c r="N30" s="240"/>
      <c r="O30" s="242" t="str">
        <f t="shared" si="13"/>
        <v>W</v>
      </c>
      <c r="P30" s="243"/>
      <c r="Q30" s="243"/>
      <c r="R30" s="243">
        <v>72</v>
      </c>
      <c r="S30" s="243" t="str">
        <f t="shared" ref="S30" si="27">IF(R30&gt;=75,"A",IF(R30&gt;=65,"B",IF(R30&gt;=50,"C",IF(R30&gt;=36,"S","W"))))</f>
        <v>B</v>
      </c>
      <c r="T30" s="243"/>
      <c r="U30" s="244"/>
      <c r="V30" s="243"/>
      <c r="W30" s="243"/>
      <c r="X30" s="246"/>
      <c r="Y30" s="246"/>
      <c r="Z30" s="246"/>
      <c r="AA30" s="246"/>
      <c r="AB30" s="246">
        <v>94</v>
      </c>
      <c r="AC30" s="246" t="str">
        <f t="shared" si="24"/>
        <v>A</v>
      </c>
      <c r="AD30" s="258"/>
      <c r="AE30" s="197"/>
      <c r="AF30" s="197"/>
      <c r="AG30" s="197"/>
      <c r="AH30" s="247"/>
      <c r="AI30" s="197"/>
      <c r="AJ30" s="197">
        <v>71</v>
      </c>
      <c r="AK30" s="197" t="str">
        <f t="shared" si="26"/>
        <v>B</v>
      </c>
      <c r="AL30" s="198">
        <f t="shared" si="16"/>
        <v>382</v>
      </c>
      <c r="AM30" s="199">
        <f t="shared" si="1"/>
        <v>62.2</v>
      </c>
      <c r="AN30" s="198">
        <f t="shared" si="17"/>
        <v>2</v>
      </c>
      <c r="AO30" s="249">
        <f t="shared" si="2"/>
        <v>1</v>
      </c>
      <c r="AP30" s="249">
        <f t="shared" si="3"/>
        <v>2</v>
      </c>
      <c r="AQ30" s="249">
        <f t="shared" si="4"/>
        <v>1</v>
      </c>
      <c r="AR30" s="249">
        <f t="shared" si="5"/>
        <v>2</v>
      </c>
      <c r="AS30" s="250">
        <f t="shared" si="6"/>
        <v>3</v>
      </c>
      <c r="AT30" s="251">
        <f t="shared" si="7"/>
        <v>0</v>
      </c>
    </row>
    <row r="31" ht="15.6" spans="1:46">
      <c r="A31" s="39">
        <v>24</v>
      </c>
      <c r="B31" s="125" t="s">
        <v>408</v>
      </c>
      <c r="C31" s="236" t="s">
        <v>385</v>
      </c>
      <c r="D31" s="241">
        <v>18</v>
      </c>
      <c r="E31" s="238" t="str">
        <f t="shared" si="8"/>
        <v>W</v>
      </c>
      <c r="F31" s="239"/>
      <c r="G31" s="240" t="str">
        <f t="shared" si="21"/>
        <v>W</v>
      </c>
      <c r="H31" s="239"/>
      <c r="I31" s="240" t="str">
        <f t="shared" si="10"/>
        <v>W</v>
      </c>
      <c r="J31" s="241">
        <v>13</v>
      </c>
      <c r="K31" s="240" t="str">
        <f t="shared" si="11"/>
        <v>W</v>
      </c>
      <c r="L31" s="240">
        <v>10</v>
      </c>
      <c r="M31" s="240" t="str">
        <f t="shared" si="20"/>
        <v>W</v>
      </c>
      <c r="N31" s="240"/>
      <c r="O31" s="242" t="str">
        <f t="shared" si="13"/>
        <v>W</v>
      </c>
      <c r="P31" s="243"/>
      <c r="Q31" s="243" t="str">
        <f t="shared" si="18"/>
        <v>W</v>
      </c>
      <c r="R31" s="243"/>
      <c r="S31" s="243"/>
      <c r="T31" s="243"/>
      <c r="U31" s="244"/>
      <c r="V31" s="243"/>
      <c r="W31" s="243"/>
      <c r="X31" s="246"/>
      <c r="Y31" s="246"/>
      <c r="Z31" s="246"/>
      <c r="AA31" s="246"/>
      <c r="AB31" s="246"/>
      <c r="AC31" s="246"/>
      <c r="AD31" s="258">
        <v>49</v>
      </c>
      <c r="AE31" s="197" t="str">
        <f t="shared" si="15"/>
        <v>S</v>
      </c>
      <c r="AF31" s="197"/>
      <c r="AG31" s="197"/>
      <c r="AH31" s="247"/>
      <c r="AI31" s="197"/>
      <c r="AJ31" s="197"/>
      <c r="AK31" s="197"/>
      <c r="AL31" s="198">
        <f t="shared" si="16"/>
        <v>90</v>
      </c>
      <c r="AM31" s="199">
        <f t="shared" si="1"/>
        <v>22.5</v>
      </c>
      <c r="AN31" s="198">
        <f t="shared" si="17"/>
        <v>25</v>
      </c>
      <c r="AO31" s="249">
        <f t="shared" si="2"/>
        <v>0</v>
      </c>
      <c r="AP31" s="249">
        <f t="shared" si="3"/>
        <v>0</v>
      </c>
      <c r="AQ31" s="249">
        <f t="shared" si="4"/>
        <v>0</v>
      </c>
      <c r="AR31" s="249">
        <f t="shared" si="5"/>
        <v>1</v>
      </c>
      <c r="AS31" s="250">
        <f t="shared" si="6"/>
        <v>7</v>
      </c>
      <c r="AT31" s="251">
        <f t="shared" si="7"/>
        <v>0</v>
      </c>
    </row>
    <row r="32" ht="15.6" spans="1:46">
      <c r="A32" s="39">
        <v>25</v>
      </c>
      <c r="B32" s="125" t="s">
        <v>409</v>
      </c>
      <c r="C32" s="236" t="s">
        <v>385</v>
      </c>
      <c r="D32" s="241">
        <v>79</v>
      </c>
      <c r="E32" s="238" t="str">
        <f t="shared" si="8"/>
        <v>A</v>
      </c>
      <c r="F32" s="239"/>
      <c r="G32" s="240" t="str">
        <f t="shared" si="21"/>
        <v>W</v>
      </c>
      <c r="H32" s="239"/>
      <c r="I32" s="240" t="str">
        <f t="shared" si="10"/>
        <v>W</v>
      </c>
      <c r="J32" s="241">
        <v>63</v>
      </c>
      <c r="K32" s="240" t="str">
        <f t="shared" si="11"/>
        <v>C</v>
      </c>
      <c r="L32" s="240">
        <v>70</v>
      </c>
      <c r="M32" s="240" t="str">
        <f t="shared" si="20"/>
        <v>B</v>
      </c>
      <c r="N32" s="240"/>
      <c r="O32" s="242" t="str">
        <f t="shared" si="13"/>
        <v>W</v>
      </c>
      <c r="P32" s="243"/>
      <c r="Q32" s="243" t="str">
        <f t="shared" si="18"/>
        <v>W</v>
      </c>
      <c r="R32" s="243"/>
      <c r="S32" s="243"/>
      <c r="T32" s="243"/>
      <c r="U32" s="244"/>
      <c r="V32" s="243"/>
      <c r="W32" s="243"/>
      <c r="X32" s="246"/>
      <c r="Y32" s="246"/>
      <c r="Z32" s="246"/>
      <c r="AA32" s="246"/>
      <c r="AB32" s="246">
        <v>94</v>
      </c>
      <c r="AC32" s="246" t="str">
        <f t="shared" si="24"/>
        <v>A</v>
      </c>
      <c r="AD32" s="258">
        <v>76</v>
      </c>
      <c r="AE32" s="197" t="str">
        <f t="shared" si="15"/>
        <v>A</v>
      </c>
      <c r="AF32" s="197"/>
      <c r="AG32" s="197"/>
      <c r="AH32" s="247"/>
      <c r="AI32" s="197"/>
      <c r="AJ32" s="197"/>
      <c r="AK32" s="197"/>
      <c r="AL32" s="198">
        <f t="shared" si="16"/>
        <v>382</v>
      </c>
      <c r="AM32" s="199">
        <f t="shared" si="1"/>
        <v>76.4</v>
      </c>
      <c r="AN32" s="198">
        <f t="shared" si="17"/>
        <v>2</v>
      </c>
      <c r="AO32" s="249">
        <f t="shared" si="2"/>
        <v>3</v>
      </c>
      <c r="AP32" s="249">
        <f t="shared" si="3"/>
        <v>1</v>
      </c>
      <c r="AQ32" s="249">
        <f t="shared" si="4"/>
        <v>1</v>
      </c>
      <c r="AR32" s="249">
        <f t="shared" si="5"/>
        <v>0</v>
      </c>
      <c r="AS32" s="250">
        <f t="shared" si="6"/>
        <v>4</v>
      </c>
      <c r="AT32" s="251">
        <f t="shared" si="7"/>
        <v>0</v>
      </c>
    </row>
    <row r="33" ht="15.6" spans="1:46">
      <c r="A33" s="24">
        <v>26</v>
      </c>
      <c r="B33" s="125" t="s">
        <v>410</v>
      </c>
      <c r="C33" s="236" t="s">
        <v>385</v>
      </c>
      <c r="D33" s="241">
        <v>43</v>
      </c>
      <c r="E33" s="238" t="str">
        <f t="shared" si="8"/>
        <v>S</v>
      </c>
      <c r="F33" s="239"/>
      <c r="G33" s="240" t="str">
        <f t="shared" si="21"/>
        <v>W</v>
      </c>
      <c r="H33" s="239"/>
      <c r="I33" s="240" t="str">
        <f t="shared" si="10"/>
        <v>W</v>
      </c>
      <c r="J33" s="241">
        <v>36</v>
      </c>
      <c r="K33" s="240" t="str">
        <f t="shared" si="11"/>
        <v>S</v>
      </c>
      <c r="L33" s="240">
        <v>34</v>
      </c>
      <c r="M33" s="240" t="str">
        <f t="shared" si="20"/>
        <v>W</v>
      </c>
      <c r="N33" s="240"/>
      <c r="O33" s="242" t="str">
        <f t="shared" si="13"/>
        <v>W</v>
      </c>
      <c r="P33" s="243"/>
      <c r="Q33" s="243" t="str">
        <f t="shared" si="18"/>
        <v>W</v>
      </c>
      <c r="R33" s="243"/>
      <c r="S33" s="243"/>
      <c r="T33" s="243"/>
      <c r="U33" s="244"/>
      <c r="V33" s="243"/>
      <c r="W33" s="243"/>
      <c r="X33" s="246"/>
      <c r="Y33" s="246"/>
      <c r="Z33" s="246">
        <v>33</v>
      </c>
      <c r="AA33" s="246" t="str">
        <f t="shared" si="14"/>
        <v>W</v>
      </c>
      <c r="AB33" s="246"/>
      <c r="AC33" s="246"/>
      <c r="AD33" s="258"/>
      <c r="AE33" s="197"/>
      <c r="AF33" s="197"/>
      <c r="AG33" s="197"/>
      <c r="AH33" s="247"/>
      <c r="AI33" s="197"/>
      <c r="AJ33" s="197">
        <v>60</v>
      </c>
      <c r="AK33" s="197" t="str">
        <f t="shared" si="26"/>
        <v>C</v>
      </c>
      <c r="AL33" s="198">
        <f t="shared" si="16"/>
        <v>206</v>
      </c>
      <c r="AM33" s="199">
        <f t="shared" si="1"/>
        <v>36.5</v>
      </c>
      <c r="AN33" s="198">
        <f t="shared" si="17"/>
        <v>15</v>
      </c>
      <c r="AO33" s="249">
        <f t="shared" si="2"/>
        <v>0</v>
      </c>
      <c r="AP33" s="249">
        <f t="shared" si="3"/>
        <v>0</v>
      </c>
      <c r="AQ33" s="249">
        <f t="shared" si="4"/>
        <v>1</v>
      </c>
      <c r="AR33" s="249">
        <f t="shared" si="5"/>
        <v>2</v>
      </c>
      <c r="AS33" s="250">
        <f t="shared" si="6"/>
        <v>6</v>
      </c>
      <c r="AT33" s="251">
        <f t="shared" si="7"/>
        <v>0</v>
      </c>
    </row>
    <row r="34" ht="15.6" spans="1:46">
      <c r="A34" s="39">
        <v>27</v>
      </c>
      <c r="B34" s="125" t="s">
        <v>411</v>
      </c>
      <c r="C34" s="236" t="s">
        <v>385</v>
      </c>
      <c r="D34" s="241">
        <v>40</v>
      </c>
      <c r="E34" s="238" t="str">
        <f t="shared" si="8"/>
        <v>S</v>
      </c>
      <c r="F34" s="239"/>
      <c r="G34" s="240" t="str">
        <f t="shared" si="21"/>
        <v>W</v>
      </c>
      <c r="H34" s="239"/>
      <c r="I34" s="240" t="str">
        <f t="shared" si="10"/>
        <v>W</v>
      </c>
      <c r="J34" s="241">
        <v>44</v>
      </c>
      <c r="K34" s="240" t="str">
        <f t="shared" si="11"/>
        <v>S</v>
      </c>
      <c r="L34" s="240">
        <v>36</v>
      </c>
      <c r="M34" s="240" t="str">
        <f t="shared" si="20"/>
        <v>S</v>
      </c>
      <c r="N34" s="240"/>
      <c r="O34" s="242" t="str">
        <f t="shared" si="13"/>
        <v>W</v>
      </c>
      <c r="P34" s="243"/>
      <c r="Q34" s="243" t="str">
        <f t="shared" si="18"/>
        <v>W</v>
      </c>
      <c r="R34" s="243"/>
      <c r="S34" s="243"/>
      <c r="T34" s="243"/>
      <c r="U34" s="244"/>
      <c r="V34" s="243"/>
      <c r="W34" s="243"/>
      <c r="X34" s="246"/>
      <c r="Y34" s="246"/>
      <c r="Z34" s="246"/>
      <c r="AA34" s="246"/>
      <c r="AB34" s="246">
        <v>78</v>
      </c>
      <c r="AC34" s="246" t="str">
        <f t="shared" si="24"/>
        <v>A</v>
      </c>
      <c r="AD34" s="258">
        <v>62</v>
      </c>
      <c r="AE34" s="197" t="str">
        <f t="shared" si="15"/>
        <v>C</v>
      </c>
      <c r="AF34" s="197"/>
      <c r="AG34" s="197"/>
      <c r="AH34" s="247"/>
      <c r="AI34" s="197"/>
      <c r="AJ34" s="197"/>
      <c r="AK34" s="197"/>
      <c r="AL34" s="198">
        <f t="shared" si="16"/>
        <v>260</v>
      </c>
      <c r="AM34" s="199">
        <f t="shared" si="1"/>
        <v>52</v>
      </c>
      <c r="AN34" s="198">
        <f t="shared" si="17"/>
        <v>12</v>
      </c>
      <c r="AO34" s="249">
        <f t="shared" si="2"/>
        <v>1</v>
      </c>
      <c r="AP34" s="249">
        <f t="shared" si="3"/>
        <v>0</v>
      </c>
      <c r="AQ34" s="249">
        <f t="shared" si="4"/>
        <v>1</v>
      </c>
      <c r="AR34" s="249">
        <f t="shared" si="5"/>
        <v>3</v>
      </c>
      <c r="AS34" s="250">
        <f t="shared" si="6"/>
        <v>4</v>
      </c>
      <c r="AT34" s="251">
        <f t="shared" si="7"/>
        <v>0</v>
      </c>
    </row>
    <row r="35" ht="15.6" spans="1:46">
      <c r="A35" s="39">
        <v>28</v>
      </c>
      <c r="B35" s="125" t="s">
        <v>412</v>
      </c>
      <c r="C35" s="236" t="s">
        <v>385</v>
      </c>
      <c r="D35" s="241">
        <v>83</v>
      </c>
      <c r="E35" s="238" t="str">
        <f t="shared" si="8"/>
        <v>A</v>
      </c>
      <c r="F35" s="239"/>
      <c r="G35" s="240" t="str">
        <f t="shared" si="21"/>
        <v>W</v>
      </c>
      <c r="H35" s="239"/>
      <c r="I35" s="240" t="str">
        <f t="shared" si="10"/>
        <v>W</v>
      </c>
      <c r="J35" s="241">
        <v>70</v>
      </c>
      <c r="K35" s="240" t="str">
        <f t="shared" si="11"/>
        <v>B</v>
      </c>
      <c r="L35" s="240">
        <v>76</v>
      </c>
      <c r="M35" s="240" t="str">
        <f t="shared" si="20"/>
        <v>A</v>
      </c>
      <c r="N35" s="240"/>
      <c r="O35" s="242" t="str">
        <f t="shared" si="13"/>
        <v>W</v>
      </c>
      <c r="P35" s="243"/>
      <c r="Q35" s="243"/>
      <c r="R35" s="243"/>
      <c r="S35" s="243"/>
      <c r="T35" s="243">
        <v>84</v>
      </c>
      <c r="U35" s="244" t="str">
        <f t="shared" ref="U35" si="28">IF(T35&gt;=75,"A",IF(T35&gt;=65,"B",IF(T35&gt;=50,"C",IF(T35&gt;=36,"S","W"))))</f>
        <v>A</v>
      </c>
      <c r="V35" s="243"/>
      <c r="W35" s="243"/>
      <c r="X35" s="246"/>
      <c r="Y35" s="246"/>
      <c r="Z35" s="246">
        <v>86</v>
      </c>
      <c r="AA35" s="246" t="str">
        <f t="shared" si="14"/>
        <v>A</v>
      </c>
      <c r="AB35" s="246"/>
      <c r="AC35" s="246"/>
      <c r="AD35" s="247"/>
      <c r="AE35" s="197"/>
      <c r="AF35" s="197">
        <v>79</v>
      </c>
      <c r="AG35" s="197" t="str">
        <f t="shared" si="0"/>
        <v>A</v>
      </c>
      <c r="AH35" s="247"/>
      <c r="AI35" s="197"/>
      <c r="AJ35" s="197"/>
      <c r="AK35" s="197"/>
      <c r="AL35" s="198">
        <f t="shared" si="16"/>
        <v>478</v>
      </c>
      <c r="AM35" s="199">
        <f t="shared" si="1"/>
        <v>79.6666666666667</v>
      </c>
      <c r="AN35" s="198">
        <f t="shared" si="17"/>
        <v>1</v>
      </c>
      <c r="AO35" s="249">
        <f t="shared" si="2"/>
        <v>5</v>
      </c>
      <c r="AP35" s="249">
        <f t="shared" si="3"/>
        <v>1</v>
      </c>
      <c r="AQ35" s="249">
        <f t="shared" si="4"/>
        <v>0</v>
      </c>
      <c r="AR35" s="249">
        <f t="shared" si="5"/>
        <v>0</v>
      </c>
      <c r="AS35" s="250">
        <f t="shared" si="6"/>
        <v>3</v>
      </c>
      <c r="AT35" s="251">
        <f t="shared" si="7"/>
        <v>0</v>
      </c>
    </row>
    <row r="36" ht="13.9" customHeight="1" spans="1:46">
      <c r="A36" s="262" t="s">
        <v>62</v>
      </c>
      <c r="B36" s="263"/>
      <c r="C36" s="264"/>
      <c r="D36" s="209"/>
      <c r="E36" s="210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11"/>
      <c r="AI36" s="211"/>
      <c r="AJ36" s="211"/>
      <c r="AK36" s="211"/>
      <c r="AL36" s="211"/>
      <c r="AM36" s="211"/>
      <c r="AN36" s="211"/>
      <c r="AO36" s="212"/>
      <c r="AP36" s="212"/>
      <c r="AQ36" s="212"/>
      <c r="AR36" s="212"/>
      <c r="AS36" s="213"/>
      <c r="AT36" s="214"/>
    </row>
    <row r="37" ht="13.9" customHeight="1" spans="1:46">
      <c r="A37" s="262" t="s">
        <v>63</v>
      </c>
      <c r="B37" s="263"/>
      <c r="C37" s="265" t="s">
        <v>24</v>
      </c>
      <c r="D37" s="209"/>
      <c r="E37" s="218">
        <f>COUNTIF(E8:E35,"A")</f>
        <v>2</v>
      </c>
      <c r="F37" s="209"/>
      <c r="G37" s="219">
        <f>COUNTIF(G8:G35,"A")</f>
        <v>0</v>
      </c>
      <c r="H37" s="209"/>
      <c r="I37" s="219">
        <f>COUNTIF(I8:I35,"A")</f>
        <v>0</v>
      </c>
      <c r="J37" s="209"/>
      <c r="K37" s="219">
        <f>COUNTIF(K8:K35,"A")</f>
        <v>1</v>
      </c>
      <c r="L37" s="219"/>
      <c r="M37" s="219">
        <f>COUNTIF(M8:M35,"A")</f>
        <v>1</v>
      </c>
      <c r="N37" s="219"/>
      <c r="O37" s="219">
        <f>COUNTIF(O8:O35,"A")</f>
        <v>0</v>
      </c>
      <c r="P37" s="219"/>
      <c r="Q37" s="219">
        <f>COUNTIF(Q8:Q35,"A")</f>
        <v>0</v>
      </c>
      <c r="R37" s="209"/>
      <c r="S37" s="219">
        <f>COUNTIF(S8:S35,"A")</f>
        <v>0</v>
      </c>
      <c r="T37" s="209"/>
      <c r="U37" s="209">
        <f>COUNTIF($U$8:$U$35,"A")</f>
        <v>2</v>
      </c>
      <c r="V37" s="209"/>
      <c r="W37" s="219">
        <f>COUNTIF(W8:W35,"A")</f>
        <v>0</v>
      </c>
      <c r="X37" s="209"/>
      <c r="Y37" s="219">
        <f>COUNTIF(Y8:Y35,"A")</f>
        <v>0</v>
      </c>
      <c r="Z37" s="209"/>
      <c r="AA37" s="219">
        <f>COUNTIF(AA8:AA35,"A")</f>
        <v>3</v>
      </c>
      <c r="AB37" s="209"/>
      <c r="AC37" s="219">
        <f>COUNTIF(AC8:AC35,"A")</f>
        <v>4</v>
      </c>
      <c r="AD37" s="209"/>
      <c r="AE37" s="219">
        <f>COUNTIF(AE8:AE35,"A")</f>
        <v>2</v>
      </c>
      <c r="AF37" s="219"/>
      <c r="AG37" s="219">
        <f t="shared" ref="AG37:AI37" si="29">COUNTIF(AG8:AG35,"A")</f>
        <v>1</v>
      </c>
      <c r="AH37" s="219"/>
      <c r="AI37" s="219">
        <f t="shared" si="29"/>
        <v>0</v>
      </c>
      <c r="AJ37" s="219"/>
      <c r="AK37" s="219">
        <f>COUNTIF(AK8:AK35,"A")</f>
        <v>0</v>
      </c>
      <c r="AL37" s="220"/>
      <c r="AM37" s="220"/>
      <c r="AN37" s="220"/>
      <c r="AO37" s="212"/>
      <c r="AP37" s="212"/>
      <c r="AQ37" s="212"/>
      <c r="AR37" s="212"/>
      <c r="AS37" s="213"/>
      <c r="AT37" s="214"/>
    </row>
    <row r="38" ht="13.9" customHeight="1" spans="1:46">
      <c r="A38" s="262" t="s">
        <v>64</v>
      </c>
      <c r="B38" s="263"/>
      <c r="C38" s="264" t="s">
        <v>25</v>
      </c>
      <c r="D38" s="209"/>
      <c r="E38" s="218">
        <f>COUNTIF(E8:E35,"B")</f>
        <v>0</v>
      </c>
      <c r="F38" s="209"/>
      <c r="G38" s="219">
        <f>COUNTIF(G8:G35,"B")</f>
        <v>0</v>
      </c>
      <c r="H38" s="209"/>
      <c r="I38" s="219">
        <f>COUNTIF(I8:I35,"B")</f>
        <v>0</v>
      </c>
      <c r="J38" s="209"/>
      <c r="K38" s="219">
        <f>COUNTIF(K8:K35,"B")</f>
        <v>3</v>
      </c>
      <c r="L38" s="209"/>
      <c r="M38" s="219">
        <f>COUNTIF(M8:M35,"B")</f>
        <v>1</v>
      </c>
      <c r="N38" s="209"/>
      <c r="O38" s="219">
        <f>COUNTIF(O8:O35,"B")</f>
        <v>0</v>
      </c>
      <c r="P38" s="209"/>
      <c r="Q38" s="219">
        <f>COUNTIF(Q8:Q35,"B")</f>
        <v>0</v>
      </c>
      <c r="R38" s="209"/>
      <c r="S38" s="219">
        <f>COUNTIF(S8:S35,"B")</f>
        <v>1</v>
      </c>
      <c r="T38" s="209"/>
      <c r="U38" s="209">
        <f>COUNTIF($U$8:$U$35,"B")</f>
        <v>1</v>
      </c>
      <c r="V38" s="209"/>
      <c r="W38" s="219">
        <f>COUNTIF(W8:W35,"B")</f>
        <v>1</v>
      </c>
      <c r="X38" s="209"/>
      <c r="Y38" s="219">
        <f>COUNTIF(Y8:Y35,"B")</f>
        <v>0</v>
      </c>
      <c r="Z38" s="209"/>
      <c r="AA38" s="219">
        <f>COUNTIF(AA8:AA35,"B")</f>
        <v>2</v>
      </c>
      <c r="AB38" s="209"/>
      <c r="AC38" s="219">
        <f>COUNTIF(AC8:AC35,"B")</f>
        <v>1</v>
      </c>
      <c r="AD38" s="209"/>
      <c r="AE38" s="219">
        <f>COUNTIF(AE8:AE35,"B")</f>
        <v>4</v>
      </c>
      <c r="AF38" s="209"/>
      <c r="AG38" s="219">
        <f>COUNTIF(AG8:AG35,"B")</f>
        <v>0</v>
      </c>
      <c r="AH38" s="219"/>
      <c r="AI38" s="219">
        <f>COUNTIF(AI8:AI35,"B")</f>
        <v>0</v>
      </c>
      <c r="AJ38" s="219"/>
      <c r="AK38" s="219">
        <f>COUNTIF(AK8:AK35,"B")</f>
        <v>1</v>
      </c>
      <c r="AL38" s="220"/>
      <c r="AM38" s="220"/>
      <c r="AN38" s="220"/>
      <c r="AO38" s="212"/>
      <c r="AP38" s="212"/>
      <c r="AQ38" s="212"/>
      <c r="AR38" s="212"/>
      <c r="AS38" s="212"/>
      <c r="AT38" s="222"/>
    </row>
    <row r="39" ht="13.9" customHeight="1" spans="1:46">
      <c r="A39" s="262" t="s">
        <v>65</v>
      </c>
      <c r="B39" s="263"/>
      <c r="C39" s="264" t="s">
        <v>26</v>
      </c>
      <c r="D39" s="209"/>
      <c r="E39" s="218">
        <f>COUNTIF(E8:E35,"C")</f>
        <v>9</v>
      </c>
      <c r="F39" s="209"/>
      <c r="G39" s="219">
        <f>COUNTIF(G8:G35,"C")</f>
        <v>0</v>
      </c>
      <c r="H39" s="209"/>
      <c r="I39" s="219">
        <f>COUNTIF(I8:I35,"C")</f>
        <v>0</v>
      </c>
      <c r="J39" s="209"/>
      <c r="K39" s="219">
        <f>COUNTIF(K8:K35,"C")</f>
        <v>4</v>
      </c>
      <c r="L39" s="209"/>
      <c r="M39" s="219">
        <f>COUNTIF(M8:M35,"C")</f>
        <v>0</v>
      </c>
      <c r="N39" s="209"/>
      <c r="O39" s="219">
        <f>COUNTIF(O8:O35,"C")</f>
        <v>0</v>
      </c>
      <c r="P39" s="209"/>
      <c r="Q39" s="219">
        <f>COUNTIF(Q8:Q35,"C")</f>
        <v>0</v>
      </c>
      <c r="R39" s="209"/>
      <c r="S39" s="219">
        <f>COUNTIF(S8:S35,"C")</f>
        <v>0</v>
      </c>
      <c r="T39" s="209"/>
      <c r="U39" s="209">
        <f>COUNTIF($U$8:$U$35,"C")</f>
        <v>0</v>
      </c>
      <c r="V39" s="209"/>
      <c r="W39" s="219">
        <f>COUNTIF(W8:W35,"C")</f>
        <v>0</v>
      </c>
      <c r="X39" s="209"/>
      <c r="Y39" s="219">
        <f>COUNTIF(Y8:Y35,"C")</f>
        <v>0</v>
      </c>
      <c r="Z39" s="209"/>
      <c r="AA39" s="219">
        <f>COUNTIF(AA8:AA35,"C")</f>
        <v>2</v>
      </c>
      <c r="AB39" s="209"/>
      <c r="AC39" s="219">
        <f>COUNTIF(AC8:AC35,"C")</f>
        <v>1</v>
      </c>
      <c r="AD39" s="209"/>
      <c r="AE39" s="219">
        <f>COUNTIF(AE8:AE35,"C")</f>
        <v>6</v>
      </c>
      <c r="AF39" s="209"/>
      <c r="AG39" s="219">
        <f>COUNTIF(AG8:AG35,"C")</f>
        <v>1</v>
      </c>
      <c r="AH39" s="219"/>
      <c r="AI39" s="219">
        <f>COUNTIF(AI8:AI35,"C")</f>
        <v>1</v>
      </c>
      <c r="AJ39" s="219"/>
      <c r="AK39" s="219">
        <f>COUNTIF(AK8:AK35,"C")</f>
        <v>2</v>
      </c>
      <c r="AL39" s="220"/>
      <c r="AM39" s="220"/>
      <c r="AN39" s="220"/>
      <c r="AO39" s="212"/>
      <c r="AP39" s="212"/>
      <c r="AQ39" s="212"/>
      <c r="AR39" s="212"/>
      <c r="AS39" s="212"/>
      <c r="AT39" s="222"/>
    </row>
    <row r="40" ht="13.9" customHeight="1" spans="1:46">
      <c r="A40" s="262" t="s">
        <v>413</v>
      </c>
      <c r="B40" s="263"/>
      <c r="C40" s="264" t="s">
        <v>27</v>
      </c>
      <c r="D40" s="209"/>
      <c r="E40" s="218">
        <f>COUNTIF(E8:E35,"S")</f>
        <v>7</v>
      </c>
      <c r="F40" s="209"/>
      <c r="G40" s="219">
        <f>COUNTIF(G8:G35,"S")</f>
        <v>0</v>
      </c>
      <c r="H40" s="209"/>
      <c r="I40" s="219">
        <f>COUNTIF(I8:I35,"S")</f>
        <v>0</v>
      </c>
      <c r="J40" s="209"/>
      <c r="K40" s="219">
        <f>COUNTIF(K8:K35,"S")</f>
        <v>8</v>
      </c>
      <c r="L40" s="209"/>
      <c r="M40" s="219">
        <f>COUNTIF(M8:M35,"S")</f>
        <v>7</v>
      </c>
      <c r="N40" s="209"/>
      <c r="O40" s="219">
        <f>COUNTIF(O8:O35,"S")</f>
        <v>0</v>
      </c>
      <c r="P40" s="209"/>
      <c r="Q40" s="219">
        <f>COUNTIF(Q8:Q35,"S")</f>
        <v>0</v>
      </c>
      <c r="R40" s="209"/>
      <c r="S40" s="219">
        <f>COUNTIF(S8:S35,"S")</f>
        <v>0</v>
      </c>
      <c r="T40" s="209"/>
      <c r="U40" s="209">
        <f>COUNTIF($U$8:$U$35,"S")</f>
        <v>0</v>
      </c>
      <c r="V40" s="209"/>
      <c r="W40" s="219">
        <f>COUNTIF(W8:W35,"S")</f>
        <v>0</v>
      </c>
      <c r="X40" s="209"/>
      <c r="Y40" s="219">
        <f>COUNTIF(Y8:Y35,"S")</f>
        <v>0</v>
      </c>
      <c r="Z40" s="209"/>
      <c r="AA40" s="219">
        <f>COUNTIF(AA8:AA35,"S")</f>
        <v>2</v>
      </c>
      <c r="AB40" s="209"/>
      <c r="AC40" s="219">
        <f>COUNTIF(AC8:AC35,"S")</f>
        <v>1</v>
      </c>
      <c r="AD40" s="209"/>
      <c r="AE40" s="219">
        <f>COUNTIF(AE8:AE35,"S")</f>
        <v>2</v>
      </c>
      <c r="AF40" s="209"/>
      <c r="AG40" s="219">
        <f>COUNTIF(AG8:AG35,"S")</f>
        <v>1</v>
      </c>
      <c r="AH40" s="219"/>
      <c r="AI40" s="219">
        <f>COUNTIF(AI8:AI35,"S")</f>
        <v>0</v>
      </c>
      <c r="AJ40" s="219"/>
      <c r="AK40" s="219">
        <f>COUNTIF(AK8:AK35,"S")</f>
        <v>0</v>
      </c>
      <c r="AL40" s="220"/>
      <c r="AM40" s="220"/>
      <c r="AN40" s="220"/>
      <c r="AO40" s="212"/>
      <c r="AP40" s="212"/>
      <c r="AQ40" s="212"/>
      <c r="AR40" s="212"/>
      <c r="AS40" s="212"/>
      <c r="AT40" s="222"/>
    </row>
    <row r="41" ht="13.9" customHeight="1" spans="1:46">
      <c r="A41" s="262" t="s">
        <v>414</v>
      </c>
      <c r="B41" s="263"/>
      <c r="C41" s="264" t="s">
        <v>28</v>
      </c>
      <c r="D41" s="209"/>
      <c r="E41" s="218">
        <f>COUNTIF(E8:E35,"W")</f>
        <v>7</v>
      </c>
      <c r="F41" s="209"/>
      <c r="G41" s="219">
        <f>COUNTIF(G8:G35,"W")</f>
        <v>28</v>
      </c>
      <c r="H41" s="209"/>
      <c r="I41" s="219">
        <f>COUNTIF(I8:I35,"W")</f>
        <v>28</v>
      </c>
      <c r="J41" s="209"/>
      <c r="K41" s="219">
        <f>COUNTIF(K8:K35,"W")</f>
        <v>10</v>
      </c>
      <c r="L41" s="209"/>
      <c r="M41" s="219">
        <f>COUNTIF(M8:M35,"W")</f>
        <v>15</v>
      </c>
      <c r="N41" s="209"/>
      <c r="O41" s="219">
        <f>COUNTIF(O8:O35,"W")</f>
        <v>28</v>
      </c>
      <c r="P41" s="209"/>
      <c r="Q41" s="219">
        <f>COUNTIF(Q8:Q35,"W")</f>
        <v>16</v>
      </c>
      <c r="R41" s="209"/>
      <c r="S41" s="219">
        <f>COUNTIF(S8:S35,"W")</f>
        <v>0</v>
      </c>
      <c r="T41" s="209"/>
      <c r="U41" s="209">
        <f>COUNTIF($U$8:$U$35,"W")</f>
        <v>0</v>
      </c>
      <c r="V41" s="209"/>
      <c r="W41" s="219">
        <f>COUNTIF(W8:W35,"W")</f>
        <v>0</v>
      </c>
      <c r="X41" s="209"/>
      <c r="Y41" s="219">
        <f>COUNTIF(Y8:Y35,"W")</f>
        <v>7</v>
      </c>
      <c r="Z41" s="209"/>
      <c r="AA41" s="219">
        <f>COUNTIF(AA8:AA35,"W")</f>
        <v>1</v>
      </c>
      <c r="AB41" s="209"/>
      <c r="AC41" s="219">
        <f>COUNTIF(AC8:AC35,"W")</f>
        <v>0</v>
      </c>
      <c r="AD41" s="209"/>
      <c r="AE41" s="219">
        <f>COUNTIF(AE8:AE35,"W")</f>
        <v>2</v>
      </c>
      <c r="AF41" s="209"/>
      <c r="AG41" s="219">
        <f>COUNTIF(AG8:AG35,"W")</f>
        <v>1</v>
      </c>
      <c r="AH41" s="219"/>
      <c r="AI41" s="219">
        <f>COUNTIF(AI8:AI35,"W")</f>
        <v>0</v>
      </c>
      <c r="AJ41" s="219"/>
      <c r="AK41" s="219">
        <f>COUNTIF(AK12:AK35,"W")</f>
        <v>1</v>
      </c>
      <c r="AL41" s="220"/>
      <c r="AM41" s="220"/>
      <c r="AN41" s="220"/>
      <c r="AO41" s="212"/>
      <c r="AP41" s="212"/>
      <c r="AQ41" s="212"/>
      <c r="AR41" s="212"/>
      <c r="AS41" s="212"/>
      <c r="AT41" s="222"/>
    </row>
    <row r="42" ht="13.9" customHeight="1" spans="1:46">
      <c r="A42" s="262"/>
      <c r="B42" s="263"/>
      <c r="C42" s="264" t="s">
        <v>29</v>
      </c>
      <c r="D42" s="209"/>
      <c r="E42" s="218">
        <f>COUNTIF(E8:E35,"AB")</f>
        <v>3</v>
      </c>
      <c r="F42" s="209"/>
      <c r="G42" s="219">
        <f>COUNTIF(G8:G35,"AB")</f>
        <v>0</v>
      </c>
      <c r="H42" s="209"/>
      <c r="I42" s="219">
        <f>COUNTIF(I8:I35,"AB")</f>
        <v>0</v>
      </c>
      <c r="J42" s="209"/>
      <c r="K42" s="219">
        <f>COUNTIF(K8:K35,"AB")</f>
        <v>2</v>
      </c>
      <c r="L42" s="209"/>
      <c r="M42" s="219">
        <f>COUNTIF(M8:M35,"AB")</f>
        <v>4</v>
      </c>
      <c r="N42" s="209"/>
      <c r="O42" s="219">
        <f>COUNTIF(O8:O35,"AB")</f>
        <v>0</v>
      </c>
      <c r="P42" s="209"/>
      <c r="Q42" s="219">
        <f>COUNTIF(Q8:Q35,"AB")</f>
        <v>0</v>
      </c>
      <c r="R42" s="209"/>
      <c r="S42" s="219">
        <f>COUNTIF(S8:S35,"AB")</f>
        <v>0</v>
      </c>
      <c r="T42" s="209"/>
      <c r="U42" s="209">
        <f>COUNTIF($U$8:$U$35,"AB")</f>
        <v>0</v>
      </c>
      <c r="V42" s="209"/>
      <c r="W42" s="219">
        <f>COUNTIF(W8:W35,"AB")</f>
        <v>0</v>
      </c>
      <c r="X42" s="209"/>
      <c r="Y42" s="219">
        <f>COUNTIF(Y8:Y35,"AB")</f>
        <v>0</v>
      </c>
      <c r="Z42" s="209"/>
      <c r="AA42" s="219">
        <f>COUNTIF(AA8:AA35,"AB")</f>
        <v>0</v>
      </c>
      <c r="AB42" s="209"/>
      <c r="AC42" s="219">
        <f>COUNTIF(AC8:AC35,"AB")</f>
        <v>0</v>
      </c>
      <c r="AD42" s="209"/>
      <c r="AE42" s="219">
        <f>COUNTIF(AE8:AE35,"AB")</f>
        <v>0</v>
      </c>
      <c r="AF42" s="209"/>
      <c r="AG42" s="219">
        <f>COUNTIF(AG8:AG35,"AB")</f>
        <v>0</v>
      </c>
      <c r="AH42" s="219"/>
      <c r="AI42" s="219">
        <f>COUNTIF(AI13:AI40,"A")</f>
        <v>0</v>
      </c>
      <c r="AJ42" s="219"/>
      <c r="AK42" s="219">
        <f>COUNTIF(AK8:AK35,"AB")</f>
        <v>0</v>
      </c>
      <c r="AL42" s="220"/>
      <c r="AM42" s="220"/>
      <c r="AN42" s="220"/>
      <c r="AO42" s="212"/>
      <c r="AP42" s="212"/>
      <c r="AQ42" s="212"/>
      <c r="AR42" s="212"/>
      <c r="AS42" s="212"/>
      <c r="AT42" s="222"/>
    </row>
    <row r="43" ht="13.9" customHeight="1" spans="1:46">
      <c r="A43" s="266" t="s">
        <v>7</v>
      </c>
      <c r="B43" s="267"/>
      <c r="C43" s="268"/>
      <c r="D43" s="226"/>
      <c r="E43" s="224">
        <f>SUM(E37:E42)</f>
        <v>28</v>
      </c>
      <c r="F43" s="227"/>
      <c r="G43" s="228">
        <f>SUM(G37:G42)</f>
        <v>28</v>
      </c>
      <c r="H43" s="227"/>
      <c r="I43" s="228">
        <f>SUM(I37:I42)</f>
        <v>28</v>
      </c>
      <c r="J43" s="227"/>
      <c r="K43" s="228">
        <f>SUM(K37:K42)</f>
        <v>28</v>
      </c>
      <c r="L43" s="227"/>
      <c r="M43" s="228">
        <f>SUM(M37:M42)</f>
        <v>28</v>
      </c>
      <c r="N43" s="227"/>
      <c r="O43" s="228">
        <f>SUM(O37:O42)</f>
        <v>28</v>
      </c>
      <c r="P43" s="227"/>
      <c r="Q43" s="228">
        <f>SUM(Q37:Q42)</f>
        <v>16</v>
      </c>
      <c r="R43" s="227"/>
      <c r="S43" s="228">
        <f>SUM(S37:S42)</f>
        <v>1</v>
      </c>
      <c r="T43" s="227"/>
      <c r="U43" s="227">
        <f>SUM(U37:U42)</f>
        <v>3</v>
      </c>
      <c r="V43" s="227"/>
      <c r="W43" s="228">
        <f>SUM(W37:W42)</f>
        <v>1</v>
      </c>
      <c r="X43" s="227"/>
      <c r="Y43" s="228">
        <f>SUM(Y37:Y42)</f>
        <v>7</v>
      </c>
      <c r="Z43" s="227"/>
      <c r="AA43" s="228">
        <f>SUM(AA37:AA42)</f>
        <v>10</v>
      </c>
      <c r="AB43" s="227"/>
      <c r="AC43" s="228">
        <f>SUM(AC37:AC42)</f>
        <v>7</v>
      </c>
      <c r="AD43" s="227"/>
      <c r="AE43" s="228">
        <f>SUM(AE37:AE42)</f>
        <v>16</v>
      </c>
      <c r="AF43" s="227"/>
      <c r="AG43" s="228">
        <f>SUM(AG37:AG42)</f>
        <v>4</v>
      </c>
      <c r="AH43" s="228"/>
      <c r="AI43" s="255">
        <f>SUM(AG37:AG42)</f>
        <v>4</v>
      </c>
      <c r="AJ43" s="228"/>
      <c r="AK43" s="255">
        <f>SUM(AG37:AG42)</f>
        <v>4</v>
      </c>
      <c r="AL43" s="269"/>
      <c r="AM43" s="269"/>
      <c r="AN43" s="269"/>
      <c r="AO43" s="212"/>
      <c r="AP43" s="212"/>
      <c r="AQ43" s="212"/>
      <c r="AR43" s="212"/>
      <c r="AS43" s="212"/>
      <c r="AT43" s="222"/>
    </row>
    <row r="44" ht="13.9" customHeight="1" spans="1:46">
      <c r="A44" s="71"/>
      <c r="B44" s="270"/>
      <c r="C44" s="271"/>
      <c r="D44" s="74"/>
      <c r="E44" s="75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T44" s="2"/>
    </row>
    <row r="45" ht="18" spans="1:46">
      <c r="A45" s="47"/>
      <c r="B45" s="77"/>
      <c r="C45" s="78"/>
      <c r="D45" s="38"/>
      <c r="E45" s="79"/>
      <c r="F45" s="38"/>
      <c r="G45" s="38"/>
      <c r="H45" s="38"/>
      <c r="I45" s="38"/>
      <c r="J45" s="38"/>
      <c r="K45" s="80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T45" s="2"/>
    </row>
  </sheetData>
  <mergeCells count="19">
    <mergeCell ref="A1:AG1"/>
    <mergeCell ref="A3:AS3"/>
    <mergeCell ref="A4:AS4"/>
    <mergeCell ref="D6:O6"/>
    <mergeCell ref="P6:W6"/>
    <mergeCell ref="X6:AC6"/>
    <mergeCell ref="AD6:AK6"/>
    <mergeCell ref="AO6:AT6"/>
    <mergeCell ref="A36:B36"/>
    <mergeCell ref="A37:B37"/>
    <mergeCell ref="A38:B38"/>
    <mergeCell ref="A39:B39"/>
    <mergeCell ref="A40:B40"/>
    <mergeCell ref="A41:B41"/>
    <mergeCell ref="A42:B42"/>
    <mergeCell ref="A43:B43"/>
    <mergeCell ref="A6:A7"/>
    <mergeCell ref="B6:B7"/>
    <mergeCell ref="C6:C7"/>
  </mergeCells>
  <pageMargins left="0.25" right="0.25" top="0.75" bottom="0.75" header="0.3" footer="0.3"/>
  <pageSetup paperSize="8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1"/>
  <sheetViews>
    <sheetView zoomScale="86" zoomScaleNormal="86" workbookViewId="0">
      <selection activeCell="W40" sqref="W40"/>
    </sheetView>
  </sheetViews>
  <sheetFormatPr defaultColWidth="9" defaultRowHeight="14.4"/>
  <cols>
    <col min="2" max="2" width="31.712962962963" customWidth="1"/>
    <col min="3" max="3" width="5" hidden="1" customWidth="1"/>
    <col min="4" max="4" width="3.71296296296296" style="123" customWidth="1"/>
    <col min="5" max="37" width="3.71296296296296" customWidth="1"/>
    <col min="38" max="38" width="5.28703703703704" customWidth="1"/>
    <col min="39" max="39" width="7.28703703703704" customWidth="1"/>
    <col min="40" max="40" width="4.13888888888889" customWidth="1"/>
    <col min="41" max="42" width="2.71296296296296" customWidth="1"/>
    <col min="43" max="43" width="3.71296296296296" customWidth="1"/>
    <col min="44" max="45" width="3" customWidth="1"/>
    <col min="46" max="46" width="3.13888888888889" customWidth="1"/>
  </cols>
  <sheetData>
    <row r="1" ht="25.8" spans="1:46">
      <c r="A1" s="3" t="s">
        <v>377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T1" s="2"/>
    </row>
    <row r="2" ht="15.6" spans="1:46">
      <c r="K2" s="1"/>
      <c r="AT2" s="2"/>
    </row>
    <row r="3" ht="21" spans="1:46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2"/>
    </row>
    <row r="4" ht="21" spans="1:46">
      <c r="A4" s="5" t="s">
        <v>415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2"/>
    </row>
    <row r="5" ht="15.6" spans="1:46">
      <c r="K5" s="1"/>
      <c r="AT5" s="2"/>
    </row>
    <row r="6" ht="15.6" spans="1:46">
      <c r="A6" s="6" t="s">
        <v>3</v>
      </c>
      <c r="B6" s="7" t="s">
        <v>4</v>
      </c>
      <c r="C6" s="8" t="s">
        <v>5</v>
      </c>
      <c r="D6" s="88" t="s">
        <v>379</v>
      </c>
      <c r="E6" s="89"/>
      <c r="F6" s="89"/>
      <c r="G6" s="89"/>
      <c r="H6" s="89"/>
      <c r="I6" s="89"/>
      <c r="J6" s="89"/>
      <c r="K6" s="89"/>
      <c r="L6" s="89"/>
      <c r="M6" s="89"/>
      <c r="N6" s="89"/>
      <c r="O6" s="90"/>
      <c r="P6" s="88"/>
      <c r="Q6" s="89"/>
      <c r="R6" s="89"/>
      <c r="S6" s="89"/>
      <c r="T6" s="89"/>
      <c r="U6" s="89"/>
      <c r="V6" s="89"/>
      <c r="W6" s="90"/>
      <c r="X6" s="88"/>
      <c r="Y6" s="89"/>
      <c r="Z6" s="89"/>
      <c r="AA6" s="89"/>
      <c r="AB6" s="89"/>
      <c r="AC6" s="90"/>
      <c r="AD6" s="113"/>
      <c r="AE6" s="114"/>
      <c r="AF6" s="114"/>
      <c r="AG6" s="114"/>
      <c r="AH6" s="114"/>
      <c r="AI6" s="114"/>
      <c r="AJ6" s="114"/>
      <c r="AK6" s="114"/>
      <c r="AL6" s="91"/>
      <c r="AM6" s="91"/>
      <c r="AN6" s="91"/>
      <c r="AO6" s="115" t="s">
        <v>7</v>
      </c>
      <c r="AP6" s="115"/>
      <c r="AQ6" s="115"/>
      <c r="AR6" s="115"/>
      <c r="AS6" s="115"/>
      <c r="AT6" s="115"/>
    </row>
    <row r="7" ht="87" customHeight="1" spans="1:46">
      <c r="A7" s="6"/>
      <c r="B7" s="6"/>
      <c r="C7" s="13"/>
      <c r="D7" s="234" t="s">
        <v>8</v>
      </c>
      <c r="E7" s="15"/>
      <c r="F7" s="14" t="s">
        <v>9</v>
      </c>
      <c r="G7" s="14"/>
      <c r="H7" s="14" t="s">
        <v>10</v>
      </c>
      <c r="I7" s="14"/>
      <c r="J7" s="14" t="s">
        <v>11</v>
      </c>
      <c r="K7" s="14"/>
      <c r="L7" s="14" t="s">
        <v>12</v>
      </c>
      <c r="M7" s="14"/>
      <c r="N7" s="14" t="s">
        <v>13</v>
      </c>
      <c r="O7" s="14"/>
      <c r="P7" s="16" t="s">
        <v>14</v>
      </c>
      <c r="Q7" s="16"/>
      <c r="R7" s="16" t="s">
        <v>15</v>
      </c>
      <c r="S7" s="16"/>
      <c r="T7" s="16" t="s">
        <v>16</v>
      </c>
      <c r="U7" s="16"/>
      <c r="V7" s="16" t="s">
        <v>380</v>
      </c>
      <c r="W7" s="16"/>
      <c r="X7" s="17" t="s">
        <v>17</v>
      </c>
      <c r="Y7" s="17"/>
      <c r="Z7" s="17" t="s">
        <v>18</v>
      </c>
      <c r="AA7" s="17"/>
      <c r="AB7" s="17" t="s">
        <v>19</v>
      </c>
      <c r="AC7" s="92"/>
      <c r="AD7" s="93" t="s">
        <v>20</v>
      </c>
      <c r="AE7" s="93"/>
      <c r="AF7" s="93" t="s">
        <v>381</v>
      </c>
      <c r="AG7" s="93"/>
      <c r="AH7" s="93" t="s">
        <v>382</v>
      </c>
      <c r="AI7" s="93"/>
      <c r="AJ7" s="93" t="s">
        <v>383</v>
      </c>
      <c r="AK7" s="93"/>
      <c r="AL7" s="18" t="s">
        <v>7</v>
      </c>
      <c r="AM7" s="18" t="s">
        <v>22</v>
      </c>
      <c r="AN7" s="18" t="s">
        <v>23</v>
      </c>
      <c r="AO7" s="118" t="s">
        <v>24</v>
      </c>
      <c r="AP7" s="119" t="s">
        <v>25</v>
      </c>
      <c r="AQ7" s="120" t="s">
        <v>26</v>
      </c>
      <c r="AR7" s="119" t="s">
        <v>27</v>
      </c>
      <c r="AS7" s="121" t="s">
        <v>28</v>
      </c>
      <c r="AT7" s="122" t="s">
        <v>29</v>
      </c>
    </row>
    <row r="8" ht="15" customHeight="1" spans="1:46">
      <c r="A8" s="39">
        <v>1</v>
      </c>
      <c r="B8" s="235" t="s">
        <v>416</v>
      </c>
      <c r="C8" s="236" t="s">
        <v>417</v>
      </c>
      <c r="D8" s="237"/>
      <c r="E8" s="238" t="str">
        <f>IF(D8&gt;=75,"A",IF(D8&gt;=65,"B",IF(D8&gt;=50,"C",IF(D8&gt;=36,"S","W"))))</f>
        <v>W</v>
      </c>
      <c r="F8" s="239"/>
      <c r="G8" s="240" t="str">
        <f>IF(F8&gt;=75,"A",IF(F8&gt;=65,"B",IF(F8&gt;=50,"C",IF(F8&gt;=36,"S","W"))))</f>
        <v>W</v>
      </c>
      <c r="H8" s="239"/>
      <c r="I8" s="240" t="str">
        <f>IF(H8&gt;=75,"A",IF(H8&gt;=65,"B",IF(H8&gt;=50,"C",IF(H8&gt;=36,"S","W"))))</f>
        <v>W</v>
      </c>
      <c r="J8" s="241"/>
      <c r="K8" s="240" t="str">
        <f>IF(J8&gt;=75,"A",IF(J8&gt;=65,"B",IF(J8&gt;=50,"C",IF(J8&gt;=36,"S","W"))))</f>
        <v>W</v>
      </c>
      <c r="L8" s="242"/>
      <c r="M8" s="240" t="str">
        <f>IF(L8&gt;=75,"A",IF(L8&gt;=65,"B",IF(L8&gt;=50,"C",IF(L8&gt;=36,"S","W"))))</f>
        <v>W</v>
      </c>
      <c r="N8" s="240"/>
      <c r="O8" s="242" t="str">
        <f>IF(N8&gt;=75,"A",IF(N8&gt;=65,"B",IF(N8&gt;=50,"C",IF(N8&gt;=36,"S","W"))))</f>
        <v>W</v>
      </c>
      <c r="P8" s="243"/>
      <c r="Q8" s="243" t="str">
        <f>IF(P8&gt;=75,"A",IF(P8&gt;=65,"B",IF(P8&gt;=50,"C",IF(P8&gt;=36,"S","W"))))</f>
        <v>W</v>
      </c>
      <c r="R8" s="244"/>
      <c r="S8" s="243"/>
      <c r="T8" s="244"/>
      <c r="U8" s="244"/>
      <c r="V8" s="243"/>
      <c r="W8" s="243"/>
      <c r="X8" s="245">
        <v>21</v>
      </c>
      <c r="Y8" s="246" t="str">
        <f>IF(X8&gt;=75,"A",IF(X8&gt;=65,"B",IF(X8&gt;=50,"C",IF(X8&gt;=36,"S","W"))))</f>
        <v>W</v>
      </c>
      <c r="Z8" s="246"/>
      <c r="AA8" s="246"/>
      <c r="AB8" s="246"/>
      <c r="AC8" s="246"/>
      <c r="AD8" s="247">
        <v>35</v>
      </c>
      <c r="AE8" s="197" t="str">
        <f>IF(AD8&gt;=75,"A",IF(AD8&gt;=65,"B",IF(AD8&gt;=50,"C",IF(AD8&gt;=36,"S","W"))))</f>
        <v>W</v>
      </c>
      <c r="AF8" s="197"/>
      <c r="AG8" s="197"/>
      <c r="AH8" s="248"/>
      <c r="AI8" s="197"/>
      <c r="AJ8" s="197"/>
      <c r="AK8" s="197"/>
      <c r="AL8" s="198">
        <f>SUM(D8,F8,H8,J8,L8,N8,P8,R8,T8,V8,X8,Z8,AB8,AD8,AF8,AH8,AJ8)</f>
        <v>56</v>
      </c>
      <c r="AM8" s="199">
        <f t="shared" ref="AM8:AM31" si="0">AVERAGE(D8,F8,H8,J8,L8,N8,P8,R8,T8,X8,Z8,AB8,AD8,AF8)</f>
        <v>28</v>
      </c>
      <c r="AN8" s="198">
        <f t="shared" ref="AN8:AN31" si="1">RANK(AL8,$AL$8:$AL$31,0)</f>
        <v>22</v>
      </c>
      <c r="AO8" s="249">
        <f t="shared" ref="AO8:AO31" si="2">COUNTIF(D8:AG8,"A")</f>
        <v>0</v>
      </c>
      <c r="AP8" s="249">
        <f t="shared" ref="AP8:AP31" si="3">COUNTIF(D8:AO8,"B")</f>
        <v>0</v>
      </c>
      <c r="AQ8" s="249">
        <f t="shared" ref="AQ8:AQ31" si="4">COUNTIF(D8:AP8,"C")</f>
        <v>0</v>
      </c>
      <c r="AR8" s="249">
        <f t="shared" ref="AR8:AR31" si="5">COUNTIF(E8:AQ8,"S")</f>
        <v>0</v>
      </c>
      <c r="AS8" s="250">
        <f t="shared" ref="AS8:AS31" si="6">COUNTIF(D8:AG8,"W")</f>
        <v>9</v>
      </c>
      <c r="AT8" s="251">
        <f t="shared" ref="AT8:AT31" si="7">(COUNTIF(D8:AK8,"AB"))/2</f>
        <v>0</v>
      </c>
    </row>
    <row r="9" ht="15" customHeight="1" spans="1:46">
      <c r="A9" s="24">
        <v>2</v>
      </c>
      <c r="B9" s="235" t="s">
        <v>418</v>
      </c>
      <c r="C9" s="236" t="s">
        <v>417</v>
      </c>
      <c r="D9" s="237"/>
      <c r="E9" s="238" t="str">
        <f t="shared" ref="E9:E31" si="8">IF(D9&gt;=75,"A",IF(D9&gt;=65,"B",IF(D9&gt;=50,"C",IF(D9&gt;=36,"S","W"))))</f>
        <v>W</v>
      </c>
      <c r="F9" s="239"/>
      <c r="G9" s="240" t="str">
        <f t="shared" ref="G9:G31" si="9">IF(F9&gt;=75,"A",IF(F9&gt;=65,"B",IF(F9&gt;=50,"C",IF(F9&gt;=36,"S","W"))))</f>
        <v>W</v>
      </c>
      <c r="H9" s="239"/>
      <c r="I9" s="240" t="str">
        <f t="shared" ref="I9:I31" si="10">IF(H9&gt;=75,"A",IF(H9&gt;=65,"B",IF(H9&gt;=50,"C",IF(H9&gt;=36,"S","W"))))</f>
        <v>W</v>
      </c>
      <c r="J9" s="241"/>
      <c r="K9" s="240" t="str">
        <f t="shared" ref="K9:K31" si="11">IF(J9&gt;=75,"A",IF(J9&gt;=65,"B",IF(J9&gt;=50,"C",IF(J9&gt;=36,"S","W"))))</f>
        <v>W</v>
      </c>
      <c r="L9" s="242"/>
      <c r="M9" s="240" t="str">
        <f t="shared" ref="M9:M31" si="12">IF(L9&gt;=75,"A",IF(L9&gt;=65,"B",IF(L9&gt;=50,"C",IF(L9&gt;=36,"S","W"))))</f>
        <v>W</v>
      </c>
      <c r="N9" s="240"/>
      <c r="O9" s="242" t="str">
        <f t="shared" ref="O9:O31" si="13">IF(N9&gt;=75,"A",IF(N9&gt;=65,"B",IF(N9&gt;=50,"C",IF(N9&gt;=36,"S","W"))))</f>
        <v>W</v>
      </c>
      <c r="P9" s="243"/>
      <c r="Q9" s="243"/>
      <c r="R9" s="240" t="s">
        <v>29</v>
      </c>
      <c r="S9" s="240" t="s">
        <v>29</v>
      </c>
      <c r="T9" s="243"/>
      <c r="U9" s="244"/>
      <c r="V9" s="243"/>
      <c r="W9" s="243"/>
      <c r="X9" s="246"/>
      <c r="Y9" s="246"/>
      <c r="Z9" s="246"/>
      <c r="AA9" s="246"/>
      <c r="AB9" s="246">
        <v>50</v>
      </c>
      <c r="AC9" s="246" t="str">
        <f t="shared" ref="AC9:AC30" si="14">IF(AB9&gt;=75,"A",IF(AB9&gt;=65,"B",IF(AB9&gt;=50,"C",IF(AB9&gt;=36,"S","W"))))</f>
        <v>C</v>
      </c>
      <c r="AD9" s="247">
        <v>64</v>
      </c>
      <c r="AE9" s="197" t="str">
        <f t="shared" ref="AE9:AE13" si="15">IF(AD9&gt;=75,"A",IF(AD9&gt;=65,"B",IF(AD9&gt;=50,"C",IF(AD9&gt;=36,"S","W"))))</f>
        <v>C</v>
      </c>
      <c r="AF9" s="197"/>
      <c r="AG9" s="197"/>
      <c r="AH9" s="197"/>
      <c r="AI9" s="197"/>
      <c r="AJ9" s="197"/>
      <c r="AK9" s="197"/>
      <c r="AL9" s="198">
        <f t="shared" ref="AL9:AL31" si="16">SUM(D9,F9,H9,J9,L9,N9,P9,R9,T9,V9,X9,Z9,AB9,AD9,AF9,AH9,AJ9)</f>
        <v>114</v>
      </c>
      <c r="AM9" s="199">
        <f t="shared" si="0"/>
        <v>57</v>
      </c>
      <c r="AN9" s="198">
        <f t="shared" si="1"/>
        <v>18</v>
      </c>
      <c r="AO9" s="249">
        <f t="shared" si="2"/>
        <v>0</v>
      </c>
      <c r="AP9" s="249">
        <f t="shared" si="3"/>
        <v>0</v>
      </c>
      <c r="AQ9" s="249">
        <f t="shared" si="4"/>
        <v>2</v>
      </c>
      <c r="AR9" s="249">
        <f t="shared" si="5"/>
        <v>0</v>
      </c>
      <c r="AS9" s="250">
        <f t="shared" si="6"/>
        <v>6</v>
      </c>
      <c r="AT9" s="251">
        <f t="shared" si="7"/>
        <v>1</v>
      </c>
    </row>
    <row r="10" ht="15" customHeight="1" spans="1:46">
      <c r="A10" s="39">
        <v>3</v>
      </c>
      <c r="B10" s="235" t="s">
        <v>419</v>
      </c>
      <c r="C10" s="236" t="s">
        <v>417</v>
      </c>
      <c r="D10" s="237"/>
      <c r="E10" s="238" t="str">
        <f t="shared" si="8"/>
        <v>W</v>
      </c>
      <c r="F10" s="239"/>
      <c r="G10" s="240" t="str">
        <f t="shared" si="9"/>
        <v>W</v>
      </c>
      <c r="H10" s="239"/>
      <c r="I10" s="240" t="str">
        <f t="shared" si="10"/>
        <v>W</v>
      </c>
      <c r="J10" s="241"/>
      <c r="K10" s="240" t="str">
        <f t="shared" si="11"/>
        <v>W</v>
      </c>
      <c r="L10" s="242"/>
      <c r="M10" s="240" t="str">
        <f t="shared" si="12"/>
        <v>W</v>
      </c>
      <c r="N10" s="240"/>
      <c r="O10" s="242" t="str">
        <f t="shared" si="13"/>
        <v>W</v>
      </c>
      <c r="P10" s="243"/>
      <c r="Q10" s="243"/>
      <c r="R10" s="243">
        <v>48</v>
      </c>
      <c r="S10" s="243" t="str">
        <f t="shared" ref="S9:S21" si="17">IF(R10&gt;=75,"A",IF(R10&gt;=65,"B",IF(R10&gt;=50,"C",IF(R10&gt;=36,"S","W"))))</f>
        <v>S</v>
      </c>
      <c r="T10" s="243"/>
      <c r="U10" s="244"/>
      <c r="V10" s="243"/>
      <c r="W10" s="243"/>
      <c r="X10" s="246"/>
      <c r="Y10" s="246"/>
      <c r="Z10" s="246"/>
      <c r="AA10" s="246"/>
      <c r="AB10" s="246">
        <v>34</v>
      </c>
      <c r="AC10" s="246" t="str">
        <f t="shared" si="14"/>
        <v>W</v>
      </c>
      <c r="AD10" s="247">
        <v>40</v>
      </c>
      <c r="AE10" s="197" t="str">
        <f t="shared" si="15"/>
        <v>S</v>
      </c>
      <c r="AF10" s="197"/>
      <c r="AG10" s="197"/>
      <c r="AH10" s="197"/>
      <c r="AI10" s="197"/>
      <c r="AJ10" s="197"/>
      <c r="AK10" s="197"/>
      <c r="AL10" s="198">
        <f t="shared" si="16"/>
        <v>122</v>
      </c>
      <c r="AM10" s="199">
        <f t="shared" si="0"/>
        <v>40.6666666666667</v>
      </c>
      <c r="AN10" s="198">
        <f t="shared" si="1"/>
        <v>16</v>
      </c>
      <c r="AO10" s="249">
        <f t="shared" si="2"/>
        <v>0</v>
      </c>
      <c r="AP10" s="249">
        <f t="shared" si="3"/>
        <v>0</v>
      </c>
      <c r="AQ10" s="249">
        <f t="shared" si="4"/>
        <v>0</v>
      </c>
      <c r="AR10" s="249">
        <f t="shared" si="5"/>
        <v>2</v>
      </c>
      <c r="AS10" s="250">
        <f t="shared" si="6"/>
        <v>7</v>
      </c>
      <c r="AT10" s="251">
        <f t="shared" si="7"/>
        <v>0</v>
      </c>
    </row>
    <row r="11" ht="15" customHeight="1" spans="1:46">
      <c r="A11" s="39">
        <v>4</v>
      </c>
      <c r="B11" s="235" t="s">
        <v>420</v>
      </c>
      <c r="C11" s="236" t="s">
        <v>417</v>
      </c>
      <c r="D11" s="237"/>
      <c r="E11" s="238" t="str">
        <f t="shared" si="8"/>
        <v>W</v>
      </c>
      <c r="F11" s="239"/>
      <c r="G11" s="240" t="str">
        <f t="shared" si="9"/>
        <v>W</v>
      </c>
      <c r="H11" s="239"/>
      <c r="I11" s="240" t="str">
        <f t="shared" si="10"/>
        <v>W</v>
      </c>
      <c r="J11" s="241"/>
      <c r="K11" s="240" t="str">
        <f t="shared" si="11"/>
        <v>W</v>
      </c>
      <c r="L11" s="252"/>
      <c r="M11" s="240" t="str">
        <f t="shared" si="12"/>
        <v>W</v>
      </c>
      <c r="N11" s="240"/>
      <c r="O11" s="242" t="str">
        <f t="shared" si="13"/>
        <v>W</v>
      </c>
      <c r="P11" s="243"/>
      <c r="Q11" s="243"/>
      <c r="R11" s="243">
        <v>66</v>
      </c>
      <c r="S11" s="243" t="str">
        <f t="shared" si="17"/>
        <v>B</v>
      </c>
      <c r="T11" s="243"/>
      <c r="U11" s="244"/>
      <c r="V11" s="243"/>
      <c r="W11" s="243"/>
      <c r="X11" s="246">
        <v>59</v>
      </c>
      <c r="Y11" s="246" t="str">
        <f t="shared" ref="Y11:Y31" si="18">IF(X11&gt;=75,"A",IF(X11&gt;=65,"B",IF(X11&gt;=50,"C",IF(X11&gt;=36,"S","W"))))</f>
        <v>C</v>
      </c>
      <c r="Z11" s="246"/>
      <c r="AA11" s="246"/>
      <c r="AB11" s="246"/>
      <c r="AC11" s="246"/>
      <c r="AD11" s="247">
        <v>52</v>
      </c>
      <c r="AE11" s="197" t="str">
        <f t="shared" si="15"/>
        <v>C</v>
      </c>
      <c r="AF11" s="197"/>
      <c r="AG11" s="197"/>
      <c r="AH11" s="197"/>
      <c r="AI11" s="197"/>
      <c r="AJ11" s="197"/>
      <c r="AK11" s="197"/>
      <c r="AL11" s="198">
        <f t="shared" si="16"/>
        <v>177</v>
      </c>
      <c r="AM11" s="199">
        <f t="shared" si="0"/>
        <v>59</v>
      </c>
      <c r="AN11" s="198">
        <f t="shared" si="1"/>
        <v>5</v>
      </c>
      <c r="AO11" s="249">
        <f t="shared" si="2"/>
        <v>0</v>
      </c>
      <c r="AP11" s="249">
        <f t="shared" si="3"/>
        <v>1</v>
      </c>
      <c r="AQ11" s="249">
        <f t="shared" si="4"/>
        <v>2</v>
      </c>
      <c r="AR11" s="249">
        <f t="shared" si="5"/>
        <v>0</v>
      </c>
      <c r="AS11" s="250">
        <f t="shared" si="6"/>
        <v>6</v>
      </c>
      <c r="AT11" s="251">
        <f t="shared" si="7"/>
        <v>0</v>
      </c>
    </row>
    <row r="12" ht="15" customHeight="1" spans="1:46">
      <c r="A12" s="24">
        <v>5</v>
      </c>
      <c r="B12" s="235" t="s">
        <v>421</v>
      </c>
      <c r="C12" s="236" t="s">
        <v>417</v>
      </c>
      <c r="D12" s="237"/>
      <c r="E12" s="238" t="str">
        <f t="shared" si="8"/>
        <v>W</v>
      </c>
      <c r="F12" s="239"/>
      <c r="G12" s="240" t="str">
        <f t="shared" si="9"/>
        <v>W</v>
      </c>
      <c r="H12" s="239"/>
      <c r="I12" s="240" t="str">
        <f t="shared" si="10"/>
        <v>W</v>
      </c>
      <c r="J12" s="241"/>
      <c r="K12" s="240" t="str">
        <f t="shared" si="11"/>
        <v>W</v>
      </c>
      <c r="L12" s="242"/>
      <c r="M12" s="240" t="str">
        <f t="shared" si="12"/>
        <v>W</v>
      </c>
      <c r="N12" s="240"/>
      <c r="O12" s="242" t="str">
        <f t="shared" si="13"/>
        <v>W</v>
      </c>
      <c r="P12" s="243"/>
      <c r="Q12" s="243"/>
      <c r="R12" s="243"/>
      <c r="S12" s="243"/>
      <c r="T12" s="243"/>
      <c r="U12" s="244"/>
      <c r="V12" s="243"/>
      <c r="W12" s="243"/>
      <c r="X12" s="246">
        <v>23</v>
      </c>
      <c r="Y12" s="246" t="str">
        <f t="shared" si="18"/>
        <v>W</v>
      </c>
      <c r="Z12" s="246"/>
      <c r="AA12" s="246"/>
      <c r="AB12" s="246"/>
      <c r="AC12" s="246"/>
      <c r="AD12" s="247">
        <v>38</v>
      </c>
      <c r="AE12" s="197" t="str">
        <f t="shared" si="15"/>
        <v>S</v>
      </c>
      <c r="AF12" s="197"/>
      <c r="AG12" s="197"/>
      <c r="AH12" s="197"/>
      <c r="AI12" s="197"/>
      <c r="AJ12" s="197"/>
      <c r="AK12" s="197"/>
      <c r="AL12" s="198">
        <f t="shared" si="16"/>
        <v>61</v>
      </c>
      <c r="AM12" s="199">
        <f t="shared" si="0"/>
        <v>30.5</v>
      </c>
      <c r="AN12" s="198">
        <f t="shared" si="1"/>
        <v>21</v>
      </c>
      <c r="AO12" s="249">
        <f t="shared" si="2"/>
        <v>0</v>
      </c>
      <c r="AP12" s="249">
        <f t="shared" si="3"/>
        <v>0</v>
      </c>
      <c r="AQ12" s="249">
        <f t="shared" si="4"/>
        <v>0</v>
      </c>
      <c r="AR12" s="249">
        <f t="shared" si="5"/>
        <v>1</v>
      </c>
      <c r="AS12" s="250">
        <f t="shared" si="6"/>
        <v>7</v>
      </c>
      <c r="AT12" s="251">
        <f t="shared" si="7"/>
        <v>0</v>
      </c>
    </row>
    <row r="13" ht="15" customHeight="1" spans="1:46">
      <c r="A13" s="39">
        <v>6</v>
      </c>
      <c r="B13" s="235" t="s">
        <v>422</v>
      </c>
      <c r="C13" s="236" t="s">
        <v>417</v>
      </c>
      <c r="D13" s="237"/>
      <c r="E13" s="238" t="str">
        <f t="shared" si="8"/>
        <v>W</v>
      </c>
      <c r="F13" s="239"/>
      <c r="G13" s="240" t="str">
        <f t="shared" si="9"/>
        <v>W</v>
      </c>
      <c r="H13" s="239"/>
      <c r="I13" s="240" t="str">
        <f t="shared" si="10"/>
        <v>W</v>
      </c>
      <c r="J13" s="241"/>
      <c r="K13" s="240" t="str">
        <f t="shared" si="11"/>
        <v>W</v>
      </c>
      <c r="L13" s="242"/>
      <c r="M13" s="240" t="str">
        <f t="shared" si="12"/>
        <v>W</v>
      </c>
      <c r="N13" s="240"/>
      <c r="O13" s="242" t="str">
        <f t="shared" si="13"/>
        <v>W</v>
      </c>
      <c r="P13" s="243"/>
      <c r="Q13" s="243"/>
      <c r="R13" s="243">
        <v>24</v>
      </c>
      <c r="S13" s="243" t="str">
        <f t="shared" si="17"/>
        <v>W</v>
      </c>
      <c r="T13" s="243"/>
      <c r="U13" s="244"/>
      <c r="V13" s="243"/>
      <c r="W13" s="243"/>
      <c r="X13" s="246"/>
      <c r="Y13" s="246"/>
      <c r="Z13" s="246"/>
      <c r="AA13" s="246"/>
      <c r="AB13" s="246">
        <v>47</v>
      </c>
      <c r="AC13" s="246" t="str">
        <f t="shared" si="14"/>
        <v>S</v>
      </c>
      <c r="AD13" s="247">
        <v>63</v>
      </c>
      <c r="AE13" s="197" t="str">
        <f t="shared" si="15"/>
        <v>C</v>
      </c>
      <c r="AF13" s="197"/>
      <c r="AG13" s="197"/>
      <c r="AH13" s="197"/>
      <c r="AI13" s="197"/>
      <c r="AJ13" s="197"/>
      <c r="AK13" s="197"/>
      <c r="AL13" s="198">
        <f t="shared" si="16"/>
        <v>134</v>
      </c>
      <c r="AM13" s="199">
        <f t="shared" si="0"/>
        <v>44.6666666666667</v>
      </c>
      <c r="AN13" s="198">
        <f t="shared" si="1"/>
        <v>13</v>
      </c>
      <c r="AO13" s="249">
        <f t="shared" si="2"/>
        <v>0</v>
      </c>
      <c r="AP13" s="249">
        <f t="shared" si="3"/>
        <v>0</v>
      </c>
      <c r="AQ13" s="249">
        <f t="shared" si="4"/>
        <v>1</v>
      </c>
      <c r="AR13" s="249">
        <f t="shared" si="5"/>
        <v>1</v>
      </c>
      <c r="AS13" s="250">
        <f t="shared" si="6"/>
        <v>7</v>
      </c>
      <c r="AT13" s="251">
        <f t="shared" si="7"/>
        <v>0</v>
      </c>
    </row>
    <row r="14" ht="15" customHeight="1" spans="1:46">
      <c r="A14" s="39">
        <v>7</v>
      </c>
      <c r="B14" s="235" t="s">
        <v>423</v>
      </c>
      <c r="C14" s="236" t="s">
        <v>417</v>
      </c>
      <c r="D14" s="237"/>
      <c r="E14" s="238" t="str">
        <f t="shared" si="8"/>
        <v>W</v>
      </c>
      <c r="F14" s="239"/>
      <c r="G14" s="240" t="str">
        <f t="shared" si="9"/>
        <v>W</v>
      </c>
      <c r="H14" s="239"/>
      <c r="I14" s="240" t="str">
        <f t="shared" si="10"/>
        <v>W</v>
      </c>
      <c r="J14" s="241"/>
      <c r="K14" s="240" t="str">
        <f t="shared" si="11"/>
        <v>W</v>
      </c>
      <c r="L14" s="242"/>
      <c r="M14" s="240" t="str">
        <f t="shared" si="12"/>
        <v>W</v>
      </c>
      <c r="N14" s="240"/>
      <c r="O14" s="242" t="str">
        <f t="shared" si="13"/>
        <v>W</v>
      </c>
      <c r="P14" s="243"/>
      <c r="Q14" s="243"/>
      <c r="R14" s="243">
        <v>75</v>
      </c>
      <c r="S14" s="243" t="str">
        <f t="shared" si="17"/>
        <v>A</v>
      </c>
      <c r="T14" s="243"/>
      <c r="U14" s="244"/>
      <c r="V14" s="243"/>
      <c r="W14" s="243"/>
      <c r="X14" s="246">
        <v>53</v>
      </c>
      <c r="Y14" s="246" t="str">
        <f t="shared" si="18"/>
        <v>C</v>
      </c>
      <c r="Z14" s="246"/>
      <c r="AA14" s="246"/>
      <c r="AB14" s="246"/>
      <c r="AC14" s="246"/>
      <c r="AD14" s="247"/>
      <c r="AE14" s="197"/>
      <c r="AF14" s="197"/>
      <c r="AG14" s="197"/>
      <c r="AH14" s="197"/>
      <c r="AI14" s="197"/>
      <c r="AJ14" s="197"/>
      <c r="AK14" s="197"/>
      <c r="AL14" s="198">
        <f t="shared" si="16"/>
        <v>128</v>
      </c>
      <c r="AM14" s="199">
        <f t="shared" si="0"/>
        <v>64</v>
      </c>
      <c r="AN14" s="198">
        <f t="shared" si="1"/>
        <v>15</v>
      </c>
      <c r="AO14" s="249">
        <f t="shared" si="2"/>
        <v>1</v>
      </c>
      <c r="AP14" s="249">
        <f t="shared" si="3"/>
        <v>0</v>
      </c>
      <c r="AQ14" s="249">
        <f t="shared" si="4"/>
        <v>1</v>
      </c>
      <c r="AR14" s="249">
        <f t="shared" si="5"/>
        <v>0</v>
      </c>
      <c r="AS14" s="250">
        <f t="shared" si="6"/>
        <v>6</v>
      </c>
      <c r="AT14" s="251">
        <f t="shared" si="7"/>
        <v>0</v>
      </c>
    </row>
    <row r="15" ht="15" customHeight="1" spans="1:46">
      <c r="A15" s="24">
        <v>8</v>
      </c>
      <c r="B15" s="235" t="s">
        <v>424</v>
      </c>
      <c r="C15" s="236" t="s">
        <v>417</v>
      </c>
      <c r="D15" s="237"/>
      <c r="E15" s="238" t="str">
        <f t="shared" si="8"/>
        <v>W</v>
      </c>
      <c r="F15" s="239"/>
      <c r="G15" s="240" t="str">
        <f t="shared" si="9"/>
        <v>W</v>
      </c>
      <c r="H15" s="239"/>
      <c r="I15" s="240" t="str">
        <f t="shared" si="10"/>
        <v>W</v>
      </c>
      <c r="J15" s="241"/>
      <c r="K15" s="240" t="str">
        <f t="shared" si="11"/>
        <v>W</v>
      </c>
      <c r="L15" s="242"/>
      <c r="M15" s="240" t="str">
        <f t="shared" si="12"/>
        <v>W</v>
      </c>
      <c r="N15" s="240"/>
      <c r="O15" s="242" t="str">
        <f t="shared" si="13"/>
        <v>W</v>
      </c>
      <c r="P15" s="243"/>
      <c r="Q15" s="243"/>
      <c r="R15" s="243"/>
      <c r="S15" s="243"/>
      <c r="T15" s="243"/>
      <c r="U15" s="244"/>
      <c r="V15" s="243">
        <v>53</v>
      </c>
      <c r="W15" s="243" t="str">
        <f t="shared" ref="W15:W31" si="19">IF(V15&gt;=75,"A",IF(V15&gt;=65,"B",IF(V15&gt;=50,"C",IF(V15&gt;=36,"S","W"))))</f>
        <v>C</v>
      </c>
      <c r="X15" s="246">
        <v>67</v>
      </c>
      <c r="Y15" s="246" t="str">
        <f t="shared" si="18"/>
        <v>B</v>
      </c>
      <c r="Z15" s="246"/>
      <c r="AA15" s="246"/>
      <c r="AB15" s="246"/>
      <c r="AC15" s="246"/>
      <c r="AD15" s="247">
        <v>76</v>
      </c>
      <c r="AE15" s="197" t="str">
        <f t="shared" ref="AE9:AE30" si="20">IF(AD15&gt;=75,"A",IF(AD15&gt;=65,"B",IF(AD15&gt;=50,"C",IF(AD15&gt;=36,"S","W"))))</f>
        <v>A</v>
      </c>
      <c r="AF15" s="197"/>
      <c r="AG15" s="197"/>
      <c r="AH15" s="197"/>
      <c r="AI15" s="197"/>
      <c r="AJ15" s="197"/>
      <c r="AK15" s="197"/>
      <c r="AL15" s="198">
        <f t="shared" si="16"/>
        <v>196</v>
      </c>
      <c r="AM15" s="199">
        <f t="shared" si="0"/>
        <v>71.5</v>
      </c>
      <c r="AN15" s="198">
        <f t="shared" si="1"/>
        <v>4</v>
      </c>
      <c r="AO15" s="249">
        <f t="shared" si="2"/>
        <v>1</v>
      </c>
      <c r="AP15" s="249">
        <f t="shared" si="3"/>
        <v>1</v>
      </c>
      <c r="AQ15" s="249">
        <f t="shared" si="4"/>
        <v>1</v>
      </c>
      <c r="AR15" s="249">
        <f t="shared" si="5"/>
        <v>0</v>
      </c>
      <c r="AS15" s="250">
        <f t="shared" si="6"/>
        <v>6</v>
      </c>
      <c r="AT15" s="251">
        <f t="shared" si="7"/>
        <v>0</v>
      </c>
    </row>
    <row r="16" ht="15" customHeight="1" spans="1:46">
      <c r="A16" s="39">
        <v>9</v>
      </c>
      <c r="B16" s="235" t="s">
        <v>425</v>
      </c>
      <c r="C16" s="236" t="s">
        <v>417</v>
      </c>
      <c r="D16" s="237"/>
      <c r="E16" s="238" t="str">
        <f t="shared" si="8"/>
        <v>W</v>
      </c>
      <c r="F16" s="239"/>
      <c r="G16" s="240" t="str">
        <f t="shared" si="9"/>
        <v>W</v>
      </c>
      <c r="H16" s="239"/>
      <c r="I16" s="240" t="str">
        <f t="shared" si="10"/>
        <v>W</v>
      </c>
      <c r="J16" s="241"/>
      <c r="K16" s="240" t="str">
        <f t="shared" si="11"/>
        <v>W</v>
      </c>
      <c r="L16" s="242"/>
      <c r="M16" s="240" t="str">
        <f t="shared" si="12"/>
        <v>W</v>
      </c>
      <c r="N16" s="240"/>
      <c r="O16" s="242" t="str">
        <f t="shared" si="13"/>
        <v>W</v>
      </c>
      <c r="P16" s="243"/>
      <c r="Q16" s="243" t="str">
        <f t="shared" ref="Q16:Q29" si="21">IF(P16&gt;=75,"A",IF(P16&gt;=65,"B",IF(P16&gt;=50,"C",IF(P16&gt;=36,"S","W"))))</f>
        <v>W</v>
      </c>
      <c r="R16" s="243"/>
      <c r="S16" s="243"/>
      <c r="T16" s="243"/>
      <c r="U16" s="244"/>
      <c r="V16" s="243"/>
      <c r="W16" s="243"/>
      <c r="X16" s="246"/>
      <c r="Y16" s="246"/>
      <c r="Z16" s="246"/>
      <c r="AA16" s="246"/>
      <c r="AB16" s="246"/>
      <c r="AC16" s="246"/>
      <c r="AD16" s="247">
        <v>29</v>
      </c>
      <c r="AE16" s="197" t="str">
        <f t="shared" si="20"/>
        <v>W</v>
      </c>
      <c r="AF16" s="197"/>
      <c r="AG16" s="197"/>
      <c r="AH16" s="197"/>
      <c r="AI16" s="197"/>
      <c r="AJ16" s="197"/>
      <c r="AK16" s="197"/>
      <c r="AL16" s="198">
        <f t="shared" si="16"/>
        <v>29</v>
      </c>
      <c r="AM16" s="199">
        <f t="shared" si="0"/>
        <v>29</v>
      </c>
      <c r="AN16" s="198">
        <f t="shared" si="1"/>
        <v>23</v>
      </c>
      <c r="AO16" s="249">
        <f t="shared" si="2"/>
        <v>0</v>
      </c>
      <c r="AP16" s="249">
        <f t="shared" si="3"/>
        <v>0</v>
      </c>
      <c r="AQ16" s="249">
        <f t="shared" si="4"/>
        <v>0</v>
      </c>
      <c r="AR16" s="249">
        <f t="shared" si="5"/>
        <v>0</v>
      </c>
      <c r="AS16" s="250">
        <f t="shared" si="6"/>
        <v>8</v>
      </c>
      <c r="AT16" s="251">
        <f t="shared" si="7"/>
        <v>0</v>
      </c>
    </row>
    <row r="17" ht="15" customHeight="1" spans="1:46">
      <c r="A17" s="39">
        <v>10</v>
      </c>
      <c r="B17" s="235" t="s">
        <v>426</v>
      </c>
      <c r="C17" s="236" t="s">
        <v>417</v>
      </c>
      <c r="D17" s="237"/>
      <c r="E17" s="238" t="str">
        <f t="shared" si="8"/>
        <v>W</v>
      </c>
      <c r="F17" s="239"/>
      <c r="G17" s="240" t="str">
        <f t="shared" si="9"/>
        <v>W</v>
      </c>
      <c r="H17" s="239"/>
      <c r="I17" s="240" t="str">
        <f t="shared" si="10"/>
        <v>W</v>
      </c>
      <c r="J17" s="241"/>
      <c r="K17" s="240" t="str">
        <f t="shared" si="11"/>
        <v>W</v>
      </c>
      <c r="L17" s="242"/>
      <c r="M17" s="240" t="str">
        <f t="shared" si="12"/>
        <v>W</v>
      </c>
      <c r="N17" s="240"/>
      <c r="O17" s="242" t="str">
        <f t="shared" si="13"/>
        <v>W</v>
      </c>
      <c r="P17" s="243"/>
      <c r="Q17" s="243"/>
      <c r="R17" s="243">
        <v>24</v>
      </c>
      <c r="S17" s="243" t="str">
        <f t="shared" si="17"/>
        <v>W</v>
      </c>
      <c r="T17" s="243"/>
      <c r="U17" s="244"/>
      <c r="V17" s="243"/>
      <c r="W17" s="243"/>
      <c r="X17" s="246"/>
      <c r="Y17" s="246"/>
      <c r="Z17" s="246"/>
      <c r="AA17" s="246"/>
      <c r="AB17" s="246"/>
      <c r="AC17" s="246"/>
      <c r="AD17" s="197" t="s">
        <v>29</v>
      </c>
      <c r="AE17" s="197" t="s">
        <v>29</v>
      </c>
      <c r="AF17" s="197"/>
      <c r="AG17" s="197"/>
      <c r="AH17" s="197"/>
      <c r="AI17" s="197"/>
      <c r="AJ17" s="197"/>
      <c r="AK17" s="197"/>
      <c r="AL17" s="198">
        <f t="shared" si="16"/>
        <v>24</v>
      </c>
      <c r="AM17" s="199">
        <f t="shared" si="0"/>
        <v>24</v>
      </c>
      <c r="AN17" s="198">
        <f t="shared" si="1"/>
        <v>24</v>
      </c>
      <c r="AO17" s="249">
        <f t="shared" si="2"/>
        <v>0</v>
      </c>
      <c r="AP17" s="249">
        <f t="shared" si="3"/>
        <v>0</v>
      </c>
      <c r="AQ17" s="249">
        <f t="shared" si="4"/>
        <v>0</v>
      </c>
      <c r="AR17" s="249">
        <f t="shared" si="5"/>
        <v>0</v>
      </c>
      <c r="AS17" s="250">
        <f t="shared" si="6"/>
        <v>7</v>
      </c>
      <c r="AT17" s="251">
        <f t="shared" si="7"/>
        <v>1</v>
      </c>
    </row>
    <row r="18" ht="15" customHeight="1" spans="1:46">
      <c r="A18" s="24">
        <v>11</v>
      </c>
      <c r="B18" s="235" t="s">
        <v>427</v>
      </c>
      <c r="C18" s="236" t="s">
        <v>417</v>
      </c>
      <c r="D18" s="237"/>
      <c r="E18" s="238" t="str">
        <f t="shared" si="8"/>
        <v>W</v>
      </c>
      <c r="F18" s="239"/>
      <c r="G18" s="240" t="str">
        <f t="shared" si="9"/>
        <v>W</v>
      </c>
      <c r="H18" s="239"/>
      <c r="I18" s="240" t="str">
        <f t="shared" si="10"/>
        <v>W</v>
      </c>
      <c r="J18" s="241"/>
      <c r="K18" s="240" t="str">
        <f t="shared" si="11"/>
        <v>W</v>
      </c>
      <c r="L18" s="242"/>
      <c r="M18" s="240" t="str">
        <f t="shared" si="12"/>
        <v>W</v>
      </c>
      <c r="N18" s="240"/>
      <c r="O18" s="242" t="str">
        <f t="shared" si="13"/>
        <v>W</v>
      </c>
      <c r="P18" s="243"/>
      <c r="Q18" s="243" t="str">
        <f t="shared" si="21"/>
        <v>W</v>
      </c>
      <c r="R18" s="243"/>
      <c r="S18" s="243"/>
      <c r="T18" s="243"/>
      <c r="U18" s="244"/>
      <c r="V18" s="243"/>
      <c r="W18" s="243"/>
      <c r="X18" s="246"/>
      <c r="Y18" s="246"/>
      <c r="Z18" s="246"/>
      <c r="AA18" s="246"/>
      <c r="AB18" s="246">
        <v>29</v>
      </c>
      <c r="AC18" s="246" t="str">
        <f t="shared" si="14"/>
        <v>W</v>
      </c>
      <c r="AD18" s="247">
        <v>52</v>
      </c>
      <c r="AE18" s="197" t="str">
        <f t="shared" si="20"/>
        <v>C</v>
      </c>
      <c r="AF18" s="197"/>
      <c r="AG18" s="197"/>
      <c r="AH18" s="197"/>
      <c r="AI18" s="197"/>
      <c r="AJ18" s="197"/>
      <c r="AK18" s="197"/>
      <c r="AL18" s="198">
        <f t="shared" si="16"/>
        <v>81</v>
      </c>
      <c r="AM18" s="199">
        <f t="shared" si="0"/>
        <v>40.5</v>
      </c>
      <c r="AN18" s="198">
        <f t="shared" si="1"/>
        <v>20</v>
      </c>
      <c r="AO18" s="249">
        <f t="shared" si="2"/>
        <v>0</v>
      </c>
      <c r="AP18" s="249">
        <f t="shared" si="3"/>
        <v>0</v>
      </c>
      <c r="AQ18" s="249">
        <f t="shared" si="4"/>
        <v>1</v>
      </c>
      <c r="AR18" s="249">
        <f t="shared" si="5"/>
        <v>0</v>
      </c>
      <c r="AS18" s="250">
        <f t="shared" si="6"/>
        <v>8</v>
      </c>
      <c r="AT18" s="251">
        <f t="shared" si="7"/>
        <v>0</v>
      </c>
    </row>
    <row r="19" ht="15" customHeight="1" spans="1:46">
      <c r="A19" s="39">
        <v>12</v>
      </c>
      <c r="B19" s="235" t="s">
        <v>428</v>
      </c>
      <c r="C19" s="236" t="s">
        <v>417</v>
      </c>
      <c r="D19" s="237"/>
      <c r="E19" s="238" t="str">
        <f t="shared" si="8"/>
        <v>W</v>
      </c>
      <c r="F19" s="239"/>
      <c r="G19" s="240" t="str">
        <f t="shared" si="9"/>
        <v>W</v>
      </c>
      <c r="H19" s="239"/>
      <c r="I19" s="240" t="str">
        <f t="shared" si="10"/>
        <v>W</v>
      </c>
      <c r="J19" s="241"/>
      <c r="K19" s="240" t="str">
        <f t="shared" si="11"/>
        <v>W</v>
      </c>
      <c r="L19" s="252"/>
      <c r="M19" s="240" t="str">
        <f t="shared" si="12"/>
        <v>W</v>
      </c>
      <c r="N19" s="240"/>
      <c r="O19" s="242" t="str">
        <f t="shared" si="13"/>
        <v>W</v>
      </c>
      <c r="P19" s="243"/>
      <c r="Q19" s="243"/>
      <c r="R19" s="243"/>
      <c r="S19" s="243"/>
      <c r="T19" s="243"/>
      <c r="U19" s="244"/>
      <c r="V19" s="243"/>
      <c r="W19" s="243"/>
      <c r="X19" s="246">
        <v>72</v>
      </c>
      <c r="Y19" s="246" t="str">
        <f t="shared" si="18"/>
        <v>B</v>
      </c>
      <c r="Z19" s="246"/>
      <c r="AA19" s="246"/>
      <c r="AB19" s="246"/>
      <c r="AC19" s="246"/>
      <c r="AD19" s="247">
        <v>62</v>
      </c>
      <c r="AE19" s="197" t="str">
        <f t="shared" si="20"/>
        <v>C</v>
      </c>
      <c r="AF19" s="197"/>
      <c r="AG19" s="197"/>
      <c r="AH19" s="197"/>
      <c r="AI19" s="197"/>
      <c r="AJ19" s="197"/>
      <c r="AK19" s="197"/>
      <c r="AL19" s="198">
        <f t="shared" si="16"/>
        <v>134</v>
      </c>
      <c r="AM19" s="199">
        <f t="shared" si="0"/>
        <v>67</v>
      </c>
      <c r="AN19" s="198">
        <f t="shared" si="1"/>
        <v>13</v>
      </c>
      <c r="AO19" s="249">
        <f t="shared" si="2"/>
        <v>0</v>
      </c>
      <c r="AP19" s="249">
        <f t="shared" si="3"/>
        <v>1</v>
      </c>
      <c r="AQ19" s="249">
        <f t="shared" si="4"/>
        <v>1</v>
      </c>
      <c r="AR19" s="249">
        <f t="shared" si="5"/>
        <v>0</v>
      </c>
      <c r="AS19" s="250">
        <f t="shared" si="6"/>
        <v>6</v>
      </c>
      <c r="AT19" s="251">
        <f t="shared" si="7"/>
        <v>0</v>
      </c>
    </row>
    <row r="20" ht="15" customHeight="1" spans="1:46">
      <c r="A20" s="39">
        <v>13</v>
      </c>
      <c r="B20" s="235" t="s">
        <v>429</v>
      </c>
      <c r="C20" s="236" t="s">
        <v>417</v>
      </c>
      <c r="D20" s="237"/>
      <c r="E20" s="238" t="str">
        <f t="shared" si="8"/>
        <v>W</v>
      </c>
      <c r="F20" s="239"/>
      <c r="G20" s="240" t="str">
        <f t="shared" si="9"/>
        <v>W</v>
      </c>
      <c r="H20" s="239"/>
      <c r="I20" s="240" t="str">
        <f t="shared" si="10"/>
        <v>W</v>
      </c>
      <c r="J20" s="241"/>
      <c r="K20" s="240" t="str">
        <f t="shared" si="11"/>
        <v>W</v>
      </c>
      <c r="L20" s="252"/>
      <c r="M20" s="240" t="str">
        <f t="shared" si="12"/>
        <v>W</v>
      </c>
      <c r="N20" s="240"/>
      <c r="O20" s="242" t="str">
        <f t="shared" si="13"/>
        <v>W</v>
      </c>
      <c r="P20" s="243"/>
      <c r="Q20" s="243"/>
      <c r="R20" s="243">
        <v>70</v>
      </c>
      <c r="S20" s="243" t="str">
        <f t="shared" si="17"/>
        <v>B</v>
      </c>
      <c r="T20" s="243"/>
      <c r="U20" s="244"/>
      <c r="V20" s="243"/>
      <c r="W20" s="243"/>
      <c r="X20" s="246"/>
      <c r="Y20" s="246"/>
      <c r="Z20" s="246"/>
      <c r="AA20" s="246"/>
      <c r="AB20" s="246">
        <v>43</v>
      </c>
      <c r="AC20" s="246" t="str">
        <f t="shared" si="14"/>
        <v>S</v>
      </c>
      <c r="AD20" s="247">
        <v>61</v>
      </c>
      <c r="AE20" s="197" t="str">
        <f t="shared" si="20"/>
        <v>C</v>
      </c>
      <c r="AF20" s="197"/>
      <c r="AG20" s="197"/>
      <c r="AH20" s="197"/>
      <c r="AI20" s="197"/>
      <c r="AJ20" s="197"/>
      <c r="AK20" s="197"/>
      <c r="AL20" s="198">
        <f t="shared" si="16"/>
        <v>174</v>
      </c>
      <c r="AM20" s="199">
        <f t="shared" si="0"/>
        <v>58</v>
      </c>
      <c r="AN20" s="198">
        <f t="shared" si="1"/>
        <v>7</v>
      </c>
      <c r="AO20" s="249">
        <f t="shared" si="2"/>
        <v>0</v>
      </c>
      <c r="AP20" s="249">
        <f t="shared" si="3"/>
        <v>1</v>
      </c>
      <c r="AQ20" s="249">
        <f t="shared" si="4"/>
        <v>1</v>
      </c>
      <c r="AR20" s="249">
        <f t="shared" si="5"/>
        <v>1</v>
      </c>
      <c r="AS20" s="250">
        <f t="shared" si="6"/>
        <v>6</v>
      </c>
      <c r="AT20" s="251">
        <f t="shared" si="7"/>
        <v>0</v>
      </c>
    </row>
    <row r="21" ht="15" customHeight="1" spans="1:46">
      <c r="A21" s="24">
        <v>14</v>
      </c>
      <c r="B21" s="235" t="s">
        <v>430</v>
      </c>
      <c r="C21" s="236" t="s">
        <v>417</v>
      </c>
      <c r="D21" s="237"/>
      <c r="E21" s="238" t="str">
        <f t="shared" si="8"/>
        <v>W</v>
      </c>
      <c r="F21" s="239"/>
      <c r="G21" s="240" t="str">
        <f t="shared" si="9"/>
        <v>W</v>
      </c>
      <c r="H21" s="239"/>
      <c r="I21" s="240" t="str">
        <f t="shared" si="10"/>
        <v>W</v>
      </c>
      <c r="J21" s="241"/>
      <c r="K21" s="240" t="str">
        <f t="shared" si="11"/>
        <v>W</v>
      </c>
      <c r="L21" s="252"/>
      <c r="M21" s="240" t="str">
        <f t="shared" si="12"/>
        <v>W</v>
      </c>
      <c r="N21" s="240"/>
      <c r="O21" s="242" t="str">
        <f t="shared" si="13"/>
        <v>W</v>
      </c>
      <c r="P21" s="243"/>
      <c r="Q21" s="243"/>
      <c r="R21" s="243">
        <v>66</v>
      </c>
      <c r="S21" s="243" t="str">
        <f t="shared" si="17"/>
        <v>B</v>
      </c>
      <c r="T21" s="243"/>
      <c r="U21" s="244"/>
      <c r="V21" s="243"/>
      <c r="W21" s="243"/>
      <c r="X21" s="246"/>
      <c r="Y21" s="246"/>
      <c r="Z21" s="246"/>
      <c r="AA21" s="246"/>
      <c r="AB21" s="246">
        <v>81</v>
      </c>
      <c r="AC21" s="246" t="str">
        <f t="shared" si="14"/>
        <v>A</v>
      </c>
      <c r="AD21" s="247">
        <v>74</v>
      </c>
      <c r="AE21" s="197" t="str">
        <f t="shared" si="20"/>
        <v>B</v>
      </c>
      <c r="AF21" s="197"/>
      <c r="AG21" s="197"/>
      <c r="AH21" s="197"/>
      <c r="AI21" s="197"/>
      <c r="AJ21" s="197"/>
      <c r="AK21" s="197"/>
      <c r="AL21" s="198">
        <f t="shared" si="16"/>
        <v>221</v>
      </c>
      <c r="AM21" s="199">
        <f t="shared" si="0"/>
        <v>73.6666666666667</v>
      </c>
      <c r="AN21" s="198">
        <f t="shared" si="1"/>
        <v>1</v>
      </c>
      <c r="AO21" s="249">
        <f t="shared" si="2"/>
        <v>1</v>
      </c>
      <c r="AP21" s="249">
        <f t="shared" si="3"/>
        <v>2</v>
      </c>
      <c r="AQ21" s="249">
        <f t="shared" si="4"/>
        <v>0</v>
      </c>
      <c r="AR21" s="249">
        <f t="shared" si="5"/>
        <v>0</v>
      </c>
      <c r="AS21" s="250">
        <f t="shared" si="6"/>
        <v>6</v>
      </c>
      <c r="AT21" s="251">
        <f t="shared" si="7"/>
        <v>0</v>
      </c>
    </row>
    <row r="22" ht="15" customHeight="1" spans="1:46">
      <c r="A22" s="39">
        <v>15</v>
      </c>
      <c r="B22" s="235" t="s">
        <v>431</v>
      </c>
      <c r="C22" s="236" t="s">
        <v>417</v>
      </c>
      <c r="D22" s="237"/>
      <c r="E22" s="238" t="str">
        <f t="shared" si="8"/>
        <v>W</v>
      </c>
      <c r="F22" s="239"/>
      <c r="G22" s="240" t="str">
        <f t="shared" si="9"/>
        <v>W</v>
      </c>
      <c r="H22" s="239"/>
      <c r="I22" s="240" t="str">
        <f t="shared" si="10"/>
        <v>W</v>
      </c>
      <c r="J22" s="241"/>
      <c r="K22" s="240" t="str">
        <f t="shared" si="11"/>
        <v>W</v>
      </c>
      <c r="L22" s="242"/>
      <c r="M22" s="240" t="str">
        <f t="shared" si="12"/>
        <v>W</v>
      </c>
      <c r="N22" s="240"/>
      <c r="O22" s="242" t="str">
        <f t="shared" si="13"/>
        <v>W</v>
      </c>
      <c r="P22" s="243"/>
      <c r="Q22" s="243" t="str">
        <f t="shared" si="21"/>
        <v>W</v>
      </c>
      <c r="R22" s="243"/>
      <c r="S22" s="243"/>
      <c r="T22" s="243"/>
      <c r="U22" s="244"/>
      <c r="V22" s="243"/>
      <c r="W22" s="243"/>
      <c r="X22" s="246"/>
      <c r="Y22" s="246"/>
      <c r="Z22" s="246"/>
      <c r="AA22" s="246"/>
      <c r="AB22" s="246">
        <v>65</v>
      </c>
      <c r="AC22" s="246" t="str">
        <f t="shared" si="14"/>
        <v>B</v>
      </c>
      <c r="AD22" s="247">
        <v>75</v>
      </c>
      <c r="AE22" s="197" t="str">
        <f t="shared" si="20"/>
        <v>A</v>
      </c>
      <c r="AF22" s="197"/>
      <c r="AG22" s="197"/>
      <c r="AH22" s="247"/>
      <c r="AI22" s="197"/>
      <c r="AJ22" s="197"/>
      <c r="AK22" s="197"/>
      <c r="AL22" s="198">
        <f t="shared" si="16"/>
        <v>140</v>
      </c>
      <c r="AM22" s="199">
        <f t="shared" si="0"/>
        <v>70</v>
      </c>
      <c r="AN22" s="198">
        <f t="shared" si="1"/>
        <v>12</v>
      </c>
      <c r="AO22" s="249">
        <f t="shared" si="2"/>
        <v>1</v>
      </c>
      <c r="AP22" s="249">
        <f t="shared" si="3"/>
        <v>1</v>
      </c>
      <c r="AQ22" s="249">
        <f t="shared" si="4"/>
        <v>0</v>
      </c>
      <c r="AR22" s="249">
        <f t="shared" si="5"/>
        <v>0</v>
      </c>
      <c r="AS22" s="250">
        <f t="shared" si="6"/>
        <v>7</v>
      </c>
      <c r="AT22" s="251">
        <f t="shared" si="7"/>
        <v>0</v>
      </c>
    </row>
    <row r="23" ht="15" customHeight="1" spans="1:46">
      <c r="A23" s="39">
        <v>16</v>
      </c>
      <c r="B23" s="235" t="s">
        <v>432</v>
      </c>
      <c r="C23" s="236" t="s">
        <v>417</v>
      </c>
      <c r="D23" s="237"/>
      <c r="E23" s="238" t="str">
        <f t="shared" si="8"/>
        <v>W</v>
      </c>
      <c r="F23" s="239"/>
      <c r="G23" s="240" t="str">
        <f t="shared" si="9"/>
        <v>W</v>
      </c>
      <c r="H23" s="239"/>
      <c r="I23" s="240" t="str">
        <f t="shared" si="10"/>
        <v>W</v>
      </c>
      <c r="J23" s="241"/>
      <c r="K23" s="240" t="str">
        <f t="shared" si="11"/>
        <v>W</v>
      </c>
      <c r="L23" s="242"/>
      <c r="M23" s="240" t="str">
        <f t="shared" si="12"/>
        <v>W</v>
      </c>
      <c r="N23" s="240"/>
      <c r="O23" s="242" t="str">
        <f t="shared" si="13"/>
        <v>W</v>
      </c>
      <c r="P23" s="243"/>
      <c r="Q23" s="243" t="str">
        <f t="shared" si="21"/>
        <v>W</v>
      </c>
      <c r="R23" s="243"/>
      <c r="S23" s="243"/>
      <c r="T23" s="243"/>
      <c r="U23" s="244"/>
      <c r="V23" s="243"/>
      <c r="W23" s="243"/>
      <c r="X23" s="246"/>
      <c r="Y23" s="246"/>
      <c r="Z23" s="246"/>
      <c r="AA23" s="246"/>
      <c r="AB23" s="246">
        <v>64</v>
      </c>
      <c r="AC23" s="246" t="str">
        <f t="shared" si="14"/>
        <v>C</v>
      </c>
      <c r="AD23" s="247"/>
      <c r="AE23" s="197"/>
      <c r="AF23" s="197">
        <v>56</v>
      </c>
      <c r="AG23" s="197" t="str">
        <f t="shared" ref="AG14:AG31" si="22">IF(AF23&gt;=75,"A",IF(AF23&gt;=65,"B",IF(AF23&gt;=50,"C",IF(AF23&gt;=36,"S","W"))))</f>
        <v>C</v>
      </c>
      <c r="AH23" s="247"/>
      <c r="AI23" s="197"/>
      <c r="AJ23" s="197"/>
      <c r="AK23" s="197"/>
      <c r="AL23" s="198">
        <f t="shared" si="16"/>
        <v>120</v>
      </c>
      <c r="AM23" s="199">
        <f t="shared" si="0"/>
        <v>60</v>
      </c>
      <c r="AN23" s="198">
        <f t="shared" si="1"/>
        <v>17</v>
      </c>
      <c r="AO23" s="249">
        <f t="shared" si="2"/>
        <v>0</v>
      </c>
      <c r="AP23" s="249">
        <f t="shared" si="3"/>
        <v>0</v>
      </c>
      <c r="AQ23" s="249">
        <f t="shared" si="4"/>
        <v>2</v>
      </c>
      <c r="AR23" s="249">
        <f t="shared" si="5"/>
        <v>0</v>
      </c>
      <c r="AS23" s="250">
        <f t="shared" si="6"/>
        <v>7</v>
      </c>
      <c r="AT23" s="251">
        <f t="shared" si="7"/>
        <v>0</v>
      </c>
    </row>
    <row r="24" ht="15" customHeight="1" spans="1:46">
      <c r="A24" s="24">
        <v>17</v>
      </c>
      <c r="B24" s="235" t="s">
        <v>433</v>
      </c>
      <c r="C24" s="236" t="s">
        <v>417</v>
      </c>
      <c r="D24" s="237"/>
      <c r="E24" s="238" t="str">
        <f t="shared" si="8"/>
        <v>W</v>
      </c>
      <c r="F24" s="239"/>
      <c r="G24" s="240" t="str">
        <f t="shared" si="9"/>
        <v>W</v>
      </c>
      <c r="H24" s="239"/>
      <c r="I24" s="240" t="str">
        <f t="shared" si="10"/>
        <v>W</v>
      </c>
      <c r="J24" s="241"/>
      <c r="K24" s="240" t="str">
        <f t="shared" si="11"/>
        <v>W</v>
      </c>
      <c r="L24" s="242"/>
      <c r="M24" s="240" t="str">
        <f t="shared" si="12"/>
        <v>W</v>
      </c>
      <c r="N24" s="240"/>
      <c r="O24" s="242" t="str">
        <f t="shared" si="13"/>
        <v>W</v>
      </c>
      <c r="P24" s="243"/>
      <c r="Q24" s="243" t="str">
        <f t="shared" si="21"/>
        <v>W</v>
      </c>
      <c r="R24" s="243"/>
      <c r="S24" s="243"/>
      <c r="T24" s="243"/>
      <c r="U24" s="244"/>
      <c r="V24" s="243"/>
      <c r="W24" s="243"/>
      <c r="X24" s="246"/>
      <c r="Y24" s="246"/>
      <c r="Z24" s="246">
        <v>82</v>
      </c>
      <c r="AA24" s="246" t="str">
        <f t="shared" ref="AA24:AA30" si="23">IF(Z24&gt;=75,"A",IF(Z24&gt;=65,"B",IF(Z24&gt;=50,"C",IF(Z24&gt;=36,"S","W"))))</f>
        <v>A</v>
      </c>
      <c r="AB24" s="246"/>
      <c r="AC24" s="246"/>
      <c r="AD24" s="247">
        <v>71</v>
      </c>
      <c r="AE24" s="197" t="str">
        <f t="shared" si="20"/>
        <v>B</v>
      </c>
      <c r="AF24" s="197"/>
      <c r="AG24" s="197"/>
      <c r="AH24" s="197"/>
      <c r="AI24" s="197"/>
      <c r="AJ24" s="197"/>
      <c r="AK24" s="197"/>
      <c r="AL24" s="198">
        <f t="shared" si="16"/>
        <v>153</v>
      </c>
      <c r="AM24" s="199">
        <f t="shared" si="0"/>
        <v>76.5</v>
      </c>
      <c r="AN24" s="198">
        <f t="shared" si="1"/>
        <v>9</v>
      </c>
      <c r="AO24" s="249">
        <f t="shared" si="2"/>
        <v>1</v>
      </c>
      <c r="AP24" s="249">
        <f t="shared" si="3"/>
        <v>1</v>
      </c>
      <c r="AQ24" s="249">
        <f t="shared" si="4"/>
        <v>0</v>
      </c>
      <c r="AR24" s="249">
        <f t="shared" si="5"/>
        <v>0</v>
      </c>
      <c r="AS24" s="250">
        <f t="shared" si="6"/>
        <v>7</v>
      </c>
      <c r="AT24" s="251">
        <f t="shared" si="7"/>
        <v>0</v>
      </c>
    </row>
    <row r="25" ht="15" customHeight="1" spans="1:46">
      <c r="A25" s="39">
        <v>18</v>
      </c>
      <c r="B25" s="235" t="s">
        <v>434</v>
      </c>
      <c r="C25" s="236" t="s">
        <v>417</v>
      </c>
      <c r="D25" s="237"/>
      <c r="E25" s="238" t="str">
        <f t="shared" si="8"/>
        <v>W</v>
      </c>
      <c r="F25" s="239"/>
      <c r="G25" s="240" t="str">
        <f t="shared" si="9"/>
        <v>W</v>
      </c>
      <c r="H25" s="239"/>
      <c r="I25" s="240" t="str">
        <f t="shared" si="10"/>
        <v>W</v>
      </c>
      <c r="J25" s="241"/>
      <c r="K25" s="240" t="str">
        <f t="shared" si="11"/>
        <v>W</v>
      </c>
      <c r="L25" s="242"/>
      <c r="M25" s="240" t="str">
        <f t="shared" si="12"/>
        <v>W</v>
      </c>
      <c r="N25" s="240"/>
      <c r="O25" s="242" t="str">
        <f t="shared" si="13"/>
        <v>W</v>
      </c>
      <c r="P25" s="243"/>
      <c r="Q25" s="243"/>
      <c r="R25" s="243"/>
      <c r="S25" s="243"/>
      <c r="T25" s="243"/>
      <c r="U25" s="244"/>
      <c r="V25" s="243">
        <v>47</v>
      </c>
      <c r="W25" s="243" t="str">
        <f t="shared" si="19"/>
        <v>S</v>
      </c>
      <c r="X25" s="246"/>
      <c r="Y25" s="246"/>
      <c r="Z25" s="246"/>
      <c r="AA25" s="246"/>
      <c r="AB25" s="246">
        <v>64</v>
      </c>
      <c r="AC25" s="246" t="str">
        <f t="shared" si="14"/>
        <v>C</v>
      </c>
      <c r="AD25" s="247"/>
      <c r="AE25" s="197"/>
      <c r="AF25" s="197">
        <v>51</v>
      </c>
      <c r="AG25" s="197" t="str">
        <f t="shared" si="22"/>
        <v>C</v>
      </c>
      <c r="AH25" s="247"/>
      <c r="AI25" s="197"/>
      <c r="AJ25" s="197"/>
      <c r="AK25" s="197"/>
      <c r="AL25" s="198">
        <f t="shared" si="16"/>
        <v>162</v>
      </c>
      <c r="AM25" s="199">
        <f t="shared" si="0"/>
        <v>57.5</v>
      </c>
      <c r="AN25" s="198">
        <f t="shared" si="1"/>
        <v>8</v>
      </c>
      <c r="AO25" s="249">
        <f t="shared" si="2"/>
        <v>0</v>
      </c>
      <c r="AP25" s="249">
        <f t="shared" si="3"/>
        <v>0</v>
      </c>
      <c r="AQ25" s="249">
        <f t="shared" si="4"/>
        <v>2</v>
      </c>
      <c r="AR25" s="249">
        <f t="shared" si="5"/>
        <v>1</v>
      </c>
      <c r="AS25" s="250">
        <f t="shared" si="6"/>
        <v>6</v>
      </c>
      <c r="AT25" s="251">
        <f t="shared" si="7"/>
        <v>0</v>
      </c>
    </row>
    <row r="26" ht="15" customHeight="1" spans="1:46">
      <c r="A26" s="39">
        <v>19</v>
      </c>
      <c r="B26" s="235" t="s">
        <v>435</v>
      </c>
      <c r="C26" s="236" t="s">
        <v>417</v>
      </c>
      <c r="D26" s="237"/>
      <c r="E26" s="238" t="str">
        <f t="shared" si="8"/>
        <v>W</v>
      </c>
      <c r="F26" s="239"/>
      <c r="G26" s="240" t="str">
        <f t="shared" si="9"/>
        <v>W</v>
      </c>
      <c r="H26" s="239"/>
      <c r="I26" s="240" t="str">
        <f t="shared" si="10"/>
        <v>W</v>
      </c>
      <c r="J26" s="241"/>
      <c r="K26" s="240" t="str">
        <f t="shared" si="11"/>
        <v>W</v>
      </c>
      <c r="L26" s="242"/>
      <c r="M26" s="240" t="str">
        <f t="shared" si="12"/>
        <v>W</v>
      </c>
      <c r="N26" s="240"/>
      <c r="O26" s="242" t="str">
        <f t="shared" si="13"/>
        <v>W</v>
      </c>
      <c r="P26" s="243"/>
      <c r="Q26" s="243"/>
      <c r="R26" s="243"/>
      <c r="S26" s="243"/>
      <c r="T26" s="243">
        <v>70</v>
      </c>
      <c r="U26" s="244" t="str">
        <f t="shared" ref="U26:U30" si="24">IF(T26&gt;=75,"A",IF(T26&gt;=65,"B",IF(T26&gt;=50,"C",IF(T26&gt;=36,"S","W"))))</f>
        <v>B</v>
      </c>
      <c r="V26" s="243"/>
      <c r="W26" s="243"/>
      <c r="X26" s="246"/>
      <c r="Y26" s="246"/>
      <c r="Z26" s="246">
        <v>83</v>
      </c>
      <c r="AA26" s="246" t="str">
        <f t="shared" si="23"/>
        <v>A</v>
      </c>
      <c r="AB26" s="246"/>
      <c r="AC26" s="246"/>
      <c r="AD26" s="247"/>
      <c r="AE26" s="197"/>
      <c r="AF26" s="197">
        <v>64</v>
      </c>
      <c r="AG26" s="197" t="str">
        <f t="shared" si="22"/>
        <v>C</v>
      </c>
      <c r="AH26" s="247"/>
      <c r="AI26" s="197"/>
      <c r="AJ26" s="197"/>
      <c r="AK26" s="197"/>
      <c r="AL26" s="198">
        <f t="shared" si="16"/>
        <v>217</v>
      </c>
      <c r="AM26" s="199">
        <f t="shared" si="0"/>
        <v>72.3333333333333</v>
      </c>
      <c r="AN26" s="198">
        <f t="shared" si="1"/>
        <v>2</v>
      </c>
      <c r="AO26" s="249">
        <f t="shared" si="2"/>
        <v>1</v>
      </c>
      <c r="AP26" s="249">
        <f t="shared" si="3"/>
        <v>1</v>
      </c>
      <c r="AQ26" s="249">
        <f t="shared" si="4"/>
        <v>1</v>
      </c>
      <c r="AR26" s="249">
        <f t="shared" si="5"/>
        <v>0</v>
      </c>
      <c r="AS26" s="250">
        <f t="shared" si="6"/>
        <v>6</v>
      </c>
      <c r="AT26" s="251">
        <f t="shared" si="7"/>
        <v>0</v>
      </c>
    </row>
    <row r="27" ht="15" customHeight="1" spans="1:46">
      <c r="A27" s="24">
        <v>20</v>
      </c>
      <c r="B27" s="235" t="s">
        <v>436</v>
      </c>
      <c r="C27" s="236" t="s">
        <v>417</v>
      </c>
      <c r="D27" s="237"/>
      <c r="E27" s="238" t="str">
        <f t="shared" si="8"/>
        <v>W</v>
      </c>
      <c r="F27" s="239"/>
      <c r="G27" s="240" t="str">
        <f t="shared" si="9"/>
        <v>W</v>
      </c>
      <c r="H27" s="239"/>
      <c r="I27" s="240" t="str">
        <f t="shared" si="10"/>
        <v>W</v>
      </c>
      <c r="J27" s="241"/>
      <c r="K27" s="240" t="str">
        <f t="shared" si="11"/>
        <v>W</v>
      </c>
      <c r="L27" s="242"/>
      <c r="M27" s="240" t="str">
        <f t="shared" si="12"/>
        <v>W</v>
      </c>
      <c r="N27" s="240"/>
      <c r="O27" s="242" t="str">
        <f t="shared" si="13"/>
        <v>W</v>
      </c>
      <c r="P27" s="243"/>
      <c r="Q27" s="243" t="str">
        <f t="shared" si="21"/>
        <v>W</v>
      </c>
      <c r="R27" s="243"/>
      <c r="S27" s="243"/>
      <c r="T27" s="243"/>
      <c r="U27" s="244"/>
      <c r="V27" s="243"/>
      <c r="W27" s="243"/>
      <c r="X27" s="246"/>
      <c r="Y27" s="246"/>
      <c r="Z27" s="246">
        <v>40</v>
      </c>
      <c r="AA27" s="246" t="str">
        <f t="shared" si="23"/>
        <v>S</v>
      </c>
      <c r="AB27" s="246"/>
      <c r="AC27" s="246"/>
      <c r="AD27" s="247"/>
      <c r="AE27" s="197"/>
      <c r="AF27" s="197"/>
      <c r="AG27" s="197"/>
      <c r="AH27" s="247"/>
      <c r="AI27" s="197"/>
      <c r="AJ27" s="197">
        <v>50</v>
      </c>
      <c r="AK27" s="197" t="str">
        <f t="shared" ref="AK27" si="25">IF(AJ27&gt;=75,"A",IF(AJ27&gt;=65,"B",IF(AJ27&gt;=50,"C",IF(AJ27&gt;=36,"S","W"))))</f>
        <v>C</v>
      </c>
      <c r="AL27" s="198">
        <f t="shared" si="16"/>
        <v>90</v>
      </c>
      <c r="AM27" s="199">
        <f t="shared" si="0"/>
        <v>40</v>
      </c>
      <c r="AN27" s="198">
        <f t="shared" si="1"/>
        <v>19</v>
      </c>
      <c r="AO27" s="249">
        <f t="shared" si="2"/>
        <v>0</v>
      </c>
      <c r="AP27" s="249">
        <f t="shared" si="3"/>
        <v>0</v>
      </c>
      <c r="AQ27" s="249">
        <f t="shared" si="4"/>
        <v>1</v>
      </c>
      <c r="AR27" s="249">
        <f t="shared" si="5"/>
        <v>1</v>
      </c>
      <c r="AS27" s="250">
        <f t="shared" si="6"/>
        <v>7</v>
      </c>
      <c r="AT27" s="251">
        <f t="shared" si="7"/>
        <v>0</v>
      </c>
    </row>
    <row r="28" ht="15" customHeight="1" spans="1:46">
      <c r="A28" s="39">
        <v>21</v>
      </c>
      <c r="B28" s="235" t="s">
        <v>437</v>
      </c>
      <c r="C28" s="236" t="s">
        <v>417</v>
      </c>
      <c r="D28" s="237"/>
      <c r="E28" s="238" t="str">
        <f t="shared" si="8"/>
        <v>W</v>
      </c>
      <c r="F28" s="239"/>
      <c r="G28" s="240" t="str">
        <f t="shared" si="9"/>
        <v>W</v>
      </c>
      <c r="H28" s="239"/>
      <c r="I28" s="240" t="str">
        <f t="shared" si="10"/>
        <v>W</v>
      </c>
      <c r="J28" s="241"/>
      <c r="K28" s="240" t="str">
        <f t="shared" si="11"/>
        <v>W</v>
      </c>
      <c r="L28" s="240"/>
      <c r="M28" s="240" t="str">
        <f t="shared" si="12"/>
        <v>W</v>
      </c>
      <c r="N28" s="240"/>
      <c r="O28" s="242" t="str">
        <f t="shared" si="13"/>
        <v>W</v>
      </c>
      <c r="P28" s="243"/>
      <c r="Q28" s="243"/>
      <c r="R28" s="243"/>
      <c r="S28" s="243"/>
      <c r="T28" s="243">
        <v>67</v>
      </c>
      <c r="U28" s="244" t="str">
        <f t="shared" si="24"/>
        <v>B</v>
      </c>
      <c r="V28" s="243"/>
      <c r="W28" s="243"/>
      <c r="X28" s="246"/>
      <c r="Y28" s="246"/>
      <c r="Z28" s="246">
        <v>75</v>
      </c>
      <c r="AA28" s="246" t="str">
        <f t="shared" si="23"/>
        <v>A</v>
      </c>
      <c r="AB28" s="246"/>
      <c r="AC28" s="246"/>
      <c r="AD28" s="247"/>
      <c r="AE28" s="197"/>
      <c r="AF28" s="197">
        <v>55</v>
      </c>
      <c r="AG28" s="197" t="str">
        <f t="shared" si="22"/>
        <v>C</v>
      </c>
      <c r="AH28" s="247"/>
      <c r="AI28" s="197"/>
      <c r="AJ28" s="197"/>
      <c r="AK28" s="197"/>
      <c r="AL28" s="198">
        <f t="shared" si="16"/>
        <v>197</v>
      </c>
      <c r="AM28" s="199">
        <f t="shared" si="0"/>
        <v>65.6666666666667</v>
      </c>
      <c r="AN28" s="198">
        <f t="shared" si="1"/>
        <v>3</v>
      </c>
      <c r="AO28" s="249">
        <f t="shared" si="2"/>
        <v>1</v>
      </c>
      <c r="AP28" s="249">
        <f t="shared" si="3"/>
        <v>1</v>
      </c>
      <c r="AQ28" s="249">
        <f t="shared" si="4"/>
        <v>1</v>
      </c>
      <c r="AR28" s="249">
        <f t="shared" si="5"/>
        <v>0</v>
      </c>
      <c r="AS28" s="250">
        <f t="shared" si="6"/>
        <v>6</v>
      </c>
      <c r="AT28" s="251">
        <f t="shared" si="7"/>
        <v>0</v>
      </c>
    </row>
    <row r="29" ht="15" customHeight="1" spans="1:46">
      <c r="A29" s="39">
        <v>22</v>
      </c>
      <c r="B29" s="235" t="s">
        <v>438</v>
      </c>
      <c r="C29" s="236" t="s">
        <v>417</v>
      </c>
      <c r="D29" s="237"/>
      <c r="E29" s="238" t="str">
        <f t="shared" si="8"/>
        <v>W</v>
      </c>
      <c r="F29" s="239"/>
      <c r="G29" s="240" t="str">
        <f t="shared" si="9"/>
        <v>W</v>
      </c>
      <c r="H29" s="239"/>
      <c r="I29" s="240" t="str">
        <f t="shared" si="10"/>
        <v>W</v>
      </c>
      <c r="J29" s="241"/>
      <c r="K29" s="240" t="str">
        <f t="shared" si="11"/>
        <v>W</v>
      </c>
      <c r="L29" s="240"/>
      <c r="M29" s="240" t="str">
        <f t="shared" si="12"/>
        <v>W</v>
      </c>
      <c r="N29" s="240"/>
      <c r="O29" s="242" t="str">
        <f t="shared" si="13"/>
        <v>W</v>
      </c>
      <c r="P29" s="243"/>
      <c r="Q29" s="243" t="str">
        <f t="shared" si="21"/>
        <v>W</v>
      </c>
      <c r="R29" s="243"/>
      <c r="S29" s="243"/>
      <c r="T29" s="243"/>
      <c r="U29" s="244"/>
      <c r="V29" s="243"/>
      <c r="W29" s="243"/>
      <c r="X29" s="246"/>
      <c r="Y29" s="246"/>
      <c r="Z29" s="246">
        <v>84</v>
      </c>
      <c r="AA29" s="246" t="str">
        <f t="shared" si="23"/>
        <v>A</v>
      </c>
      <c r="AB29" s="246"/>
      <c r="AC29" s="246"/>
      <c r="AD29" s="247"/>
      <c r="AE29" s="197"/>
      <c r="AF29" s="197">
        <v>67</v>
      </c>
      <c r="AG29" s="197" t="str">
        <f t="shared" si="22"/>
        <v>B</v>
      </c>
      <c r="AH29" s="247"/>
      <c r="AI29" s="197"/>
      <c r="AJ29" s="197"/>
      <c r="AK29" s="197"/>
      <c r="AL29" s="198">
        <f t="shared" si="16"/>
        <v>151</v>
      </c>
      <c r="AM29" s="199">
        <f t="shared" si="0"/>
        <v>75.5</v>
      </c>
      <c r="AN29" s="198">
        <f t="shared" si="1"/>
        <v>10</v>
      </c>
      <c r="AO29" s="249">
        <f t="shared" si="2"/>
        <v>1</v>
      </c>
      <c r="AP29" s="249">
        <f t="shared" si="3"/>
        <v>1</v>
      </c>
      <c r="AQ29" s="249">
        <f t="shared" si="4"/>
        <v>0</v>
      </c>
      <c r="AR29" s="249">
        <f t="shared" si="5"/>
        <v>0</v>
      </c>
      <c r="AS29" s="250">
        <f t="shared" si="6"/>
        <v>7</v>
      </c>
      <c r="AT29" s="251">
        <f t="shared" si="7"/>
        <v>0</v>
      </c>
    </row>
    <row r="30" ht="15" customHeight="1" spans="1:46">
      <c r="A30" s="24">
        <v>23</v>
      </c>
      <c r="B30" s="235" t="s">
        <v>439</v>
      </c>
      <c r="C30" s="236" t="s">
        <v>417</v>
      </c>
      <c r="D30" s="237"/>
      <c r="E30" s="238" t="str">
        <f t="shared" si="8"/>
        <v>W</v>
      </c>
      <c r="F30" s="239"/>
      <c r="G30" s="240" t="str">
        <f t="shared" si="9"/>
        <v>W</v>
      </c>
      <c r="H30" s="239"/>
      <c r="I30" s="240" t="str">
        <f t="shared" si="10"/>
        <v>W</v>
      </c>
      <c r="J30" s="241"/>
      <c r="K30" s="240" t="str">
        <f t="shared" si="11"/>
        <v>W</v>
      </c>
      <c r="L30" s="240"/>
      <c r="M30" s="240" t="str">
        <f t="shared" si="12"/>
        <v>W</v>
      </c>
      <c r="N30" s="240"/>
      <c r="O30" s="242" t="str">
        <f t="shared" si="13"/>
        <v>W</v>
      </c>
      <c r="P30" s="243"/>
      <c r="Q30" s="243"/>
      <c r="R30" s="243"/>
      <c r="S30" s="243"/>
      <c r="T30" s="243">
        <v>57</v>
      </c>
      <c r="U30" s="244" t="str">
        <f t="shared" si="24"/>
        <v>C</v>
      </c>
      <c r="V30" s="243"/>
      <c r="W30" s="243"/>
      <c r="X30" s="246"/>
      <c r="Y30" s="246"/>
      <c r="Z30" s="246"/>
      <c r="AA30" s="246"/>
      <c r="AB30" s="246">
        <v>44</v>
      </c>
      <c r="AC30" s="246" t="str">
        <f t="shared" si="14"/>
        <v>S</v>
      </c>
      <c r="AD30" s="247">
        <v>74</v>
      </c>
      <c r="AE30" s="197" t="str">
        <f t="shared" si="20"/>
        <v>B</v>
      </c>
      <c r="AF30" s="197"/>
      <c r="AG30" s="197"/>
      <c r="AH30" s="247"/>
      <c r="AI30" s="197"/>
      <c r="AJ30" s="197"/>
      <c r="AK30" s="197"/>
      <c r="AL30" s="198">
        <f t="shared" si="16"/>
        <v>175</v>
      </c>
      <c r="AM30" s="199">
        <f t="shared" si="0"/>
        <v>58.3333333333333</v>
      </c>
      <c r="AN30" s="198">
        <f t="shared" si="1"/>
        <v>6</v>
      </c>
      <c r="AO30" s="249">
        <f t="shared" si="2"/>
        <v>0</v>
      </c>
      <c r="AP30" s="249">
        <f t="shared" si="3"/>
        <v>1</v>
      </c>
      <c r="AQ30" s="249">
        <f t="shared" si="4"/>
        <v>1</v>
      </c>
      <c r="AR30" s="249">
        <f t="shared" si="5"/>
        <v>1</v>
      </c>
      <c r="AS30" s="250">
        <f t="shared" si="6"/>
        <v>6</v>
      </c>
      <c r="AT30" s="251">
        <f t="shared" si="7"/>
        <v>0</v>
      </c>
    </row>
    <row r="31" ht="15" customHeight="1" spans="1:46">
      <c r="A31" s="39">
        <v>24</v>
      </c>
      <c r="B31" s="235" t="s">
        <v>440</v>
      </c>
      <c r="C31" s="236" t="s">
        <v>417</v>
      </c>
      <c r="D31" s="237"/>
      <c r="E31" s="238" t="str">
        <f t="shared" si="8"/>
        <v>W</v>
      </c>
      <c r="F31" s="239"/>
      <c r="G31" s="240" t="str">
        <f t="shared" si="9"/>
        <v>W</v>
      </c>
      <c r="H31" s="239"/>
      <c r="I31" s="240" t="str">
        <f t="shared" si="10"/>
        <v>W</v>
      </c>
      <c r="J31" s="241"/>
      <c r="K31" s="240" t="str">
        <f t="shared" si="11"/>
        <v>W</v>
      </c>
      <c r="L31" s="240"/>
      <c r="M31" s="240" t="str">
        <f t="shared" si="12"/>
        <v>W</v>
      </c>
      <c r="N31" s="240"/>
      <c r="O31" s="242" t="str">
        <f t="shared" si="13"/>
        <v>W</v>
      </c>
      <c r="P31" s="243"/>
      <c r="Q31" s="243"/>
      <c r="R31" s="243"/>
      <c r="S31" s="243"/>
      <c r="T31" s="243"/>
      <c r="U31" s="244"/>
      <c r="V31" s="243">
        <v>48</v>
      </c>
      <c r="W31" s="243" t="str">
        <f t="shared" si="19"/>
        <v>S</v>
      </c>
      <c r="X31" s="246">
        <v>57</v>
      </c>
      <c r="Y31" s="246" t="str">
        <f t="shared" si="18"/>
        <v>C</v>
      </c>
      <c r="Z31" s="246"/>
      <c r="AA31" s="246"/>
      <c r="AB31" s="246"/>
      <c r="AC31" s="246"/>
      <c r="AD31" s="247"/>
      <c r="AE31" s="197"/>
      <c r="AF31" s="197">
        <v>38</v>
      </c>
      <c r="AG31" s="197" t="str">
        <f t="shared" si="22"/>
        <v>S</v>
      </c>
      <c r="AH31" s="247"/>
      <c r="AI31" s="197"/>
      <c r="AJ31" s="197"/>
      <c r="AK31" s="197"/>
      <c r="AL31" s="198">
        <f t="shared" si="16"/>
        <v>143</v>
      </c>
      <c r="AM31" s="199">
        <f t="shared" si="0"/>
        <v>47.5</v>
      </c>
      <c r="AN31" s="198">
        <f t="shared" si="1"/>
        <v>11</v>
      </c>
      <c r="AO31" s="249">
        <f t="shared" si="2"/>
        <v>0</v>
      </c>
      <c r="AP31" s="249">
        <f t="shared" si="3"/>
        <v>0</v>
      </c>
      <c r="AQ31" s="249">
        <f t="shared" si="4"/>
        <v>1</v>
      </c>
      <c r="AR31" s="249">
        <f t="shared" si="5"/>
        <v>2</v>
      </c>
      <c r="AS31" s="250">
        <f t="shared" si="6"/>
        <v>6</v>
      </c>
      <c r="AT31" s="251">
        <f t="shared" si="7"/>
        <v>0</v>
      </c>
    </row>
    <row r="32" ht="15" customHeight="1" spans="1:46">
      <c r="A32" s="53" t="s">
        <v>62</v>
      </c>
      <c r="B32" s="54"/>
      <c r="C32" s="221"/>
      <c r="D32" s="239"/>
      <c r="E32" s="210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11"/>
      <c r="AI32" s="211"/>
      <c r="AJ32" s="211"/>
      <c r="AK32" s="211"/>
      <c r="AL32" s="253"/>
      <c r="AM32" s="253"/>
      <c r="AN32" s="253"/>
      <c r="AO32" s="212"/>
      <c r="AP32" s="212"/>
      <c r="AQ32" s="212"/>
      <c r="AR32" s="212"/>
      <c r="AS32" s="213"/>
      <c r="AT32" s="214"/>
    </row>
    <row r="33" ht="15" customHeight="1" spans="1:46">
      <c r="A33" s="53" t="s">
        <v>63</v>
      </c>
      <c r="B33" s="54"/>
      <c r="C33" s="217" t="s">
        <v>24</v>
      </c>
      <c r="D33" s="239"/>
      <c r="E33" s="218">
        <f>COUNTIF(E8:E31,"A")</f>
        <v>0</v>
      </c>
      <c r="F33" s="209"/>
      <c r="G33" s="219">
        <f>COUNTIF(G8:G31,"A")</f>
        <v>0</v>
      </c>
      <c r="H33" s="209"/>
      <c r="I33" s="219">
        <f>COUNTIF(I8:I31,"A")</f>
        <v>0</v>
      </c>
      <c r="J33" s="209"/>
      <c r="K33" s="219">
        <f>COUNTIF(K8:K31,"A")</f>
        <v>0</v>
      </c>
      <c r="L33" s="219"/>
      <c r="M33" s="219">
        <f>COUNTIF(M8:M31,"A")</f>
        <v>0</v>
      </c>
      <c r="N33" s="219"/>
      <c r="O33" s="219">
        <f>COUNTIF(O8:O31,"A")</f>
        <v>0</v>
      </c>
      <c r="P33" s="219"/>
      <c r="Q33" s="219">
        <f>COUNTIF(Q8:Q31,"A")</f>
        <v>0</v>
      </c>
      <c r="R33" s="209"/>
      <c r="S33" s="219">
        <f>COUNTIF(S8:S31,"A")</f>
        <v>1</v>
      </c>
      <c r="T33" s="209"/>
      <c r="U33" s="209">
        <f>COUNTIF($U$8:$U$31,"A")</f>
        <v>0</v>
      </c>
      <c r="V33" s="209"/>
      <c r="W33" s="219">
        <f>COUNTIF(W8:W31,"A")</f>
        <v>0</v>
      </c>
      <c r="X33" s="209"/>
      <c r="Y33" s="219">
        <f>COUNTIF(Y8:Y31,"A")</f>
        <v>0</v>
      </c>
      <c r="Z33" s="209"/>
      <c r="AA33" s="219">
        <f>COUNTIF(AA8:AA31,"A")</f>
        <v>4</v>
      </c>
      <c r="AB33" s="209"/>
      <c r="AC33" s="219">
        <f>COUNTIF(AC8:AC31,"A")</f>
        <v>1</v>
      </c>
      <c r="AD33" s="209"/>
      <c r="AE33" s="219">
        <f>COUNTIF(AE8:AE31,"A")</f>
        <v>2</v>
      </c>
      <c r="AF33" s="219"/>
      <c r="AG33" s="219">
        <f>COUNTIF(AG8:AG31,"A")</f>
        <v>0</v>
      </c>
      <c r="AH33" s="219"/>
      <c r="AI33" s="219">
        <f>COUNTIF(AI8:AI31,"A")</f>
        <v>0</v>
      </c>
      <c r="AJ33" s="219"/>
      <c r="AK33" s="219">
        <f>COUNTIF(AK8:AK31,"A")</f>
        <v>0</v>
      </c>
      <c r="AL33" s="211"/>
      <c r="AM33" s="211"/>
      <c r="AN33" s="211"/>
      <c r="AO33" s="212"/>
      <c r="AP33" s="212"/>
      <c r="AQ33" s="212"/>
      <c r="AR33" s="212"/>
      <c r="AS33" s="213"/>
      <c r="AT33" s="214"/>
    </row>
    <row r="34" ht="15" customHeight="1" spans="1:46">
      <c r="A34" s="53" t="s">
        <v>64</v>
      </c>
      <c r="B34" s="54"/>
      <c r="C34" s="221" t="s">
        <v>25</v>
      </c>
      <c r="D34" s="239"/>
      <c r="E34" s="218">
        <f>COUNTIF(E8:E31,"B")</f>
        <v>0</v>
      </c>
      <c r="F34" s="209"/>
      <c r="G34" s="219">
        <f>COUNTIF(G8:G31,"B")</f>
        <v>0</v>
      </c>
      <c r="H34" s="209"/>
      <c r="I34" s="219">
        <f>COUNTIF(I8:I31,"B")</f>
        <v>0</v>
      </c>
      <c r="J34" s="209"/>
      <c r="K34" s="219">
        <f>COUNTIF(K8:K31,"B")</f>
        <v>0</v>
      </c>
      <c r="L34" s="209"/>
      <c r="M34" s="219">
        <f>COUNTIF(M8:M31,"B")</f>
        <v>0</v>
      </c>
      <c r="N34" s="209"/>
      <c r="O34" s="219">
        <f>COUNTIF(O8:O31,"B")</f>
        <v>0</v>
      </c>
      <c r="P34" s="209"/>
      <c r="Q34" s="219">
        <f>COUNTIF(Q8:Q31,"B")</f>
        <v>0</v>
      </c>
      <c r="R34" s="209"/>
      <c r="S34" s="219">
        <f>COUNTIF(S8:S31,"B")</f>
        <v>3</v>
      </c>
      <c r="T34" s="209"/>
      <c r="U34" s="209">
        <f>COUNTIF($U$8:$U$31,"B")</f>
        <v>2</v>
      </c>
      <c r="V34" s="209"/>
      <c r="W34" s="219">
        <f>COUNTIF(W8:W31,"B")</f>
        <v>0</v>
      </c>
      <c r="X34" s="209"/>
      <c r="Y34" s="219">
        <f>COUNTIF(Y8:Y31,"B")</f>
        <v>2</v>
      </c>
      <c r="Z34" s="209"/>
      <c r="AA34" s="219">
        <f>COUNTIF(AA8:AA31,"B")</f>
        <v>0</v>
      </c>
      <c r="AB34" s="209"/>
      <c r="AC34" s="219">
        <f>COUNTIF(AC8:AC31,"B")</f>
        <v>1</v>
      </c>
      <c r="AD34" s="209"/>
      <c r="AE34" s="219">
        <f>COUNTIF(AE8:AE31,"B")</f>
        <v>3</v>
      </c>
      <c r="AF34" s="209"/>
      <c r="AG34" s="219">
        <f>COUNTIF(AG8:AG31,"B")</f>
        <v>1</v>
      </c>
      <c r="AH34" s="219"/>
      <c r="AI34" s="219">
        <f>COUNTIF(AI8:AI31,"B")</f>
        <v>0</v>
      </c>
      <c r="AJ34" s="219"/>
      <c r="AK34" s="219">
        <f>COUNTIF(AK8:AK31,"B")</f>
        <v>0</v>
      </c>
      <c r="AL34" s="211"/>
      <c r="AM34" s="211"/>
      <c r="AN34" s="211"/>
      <c r="AO34" s="212"/>
      <c r="AP34" s="212"/>
      <c r="AQ34" s="212"/>
      <c r="AR34" s="212"/>
      <c r="AS34" s="212"/>
      <c r="AT34" s="222"/>
    </row>
    <row r="35" ht="15" customHeight="1" spans="1:46">
      <c r="A35" s="53" t="s">
        <v>65</v>
      </c>
      <c r="B35" s="54"/>
      <c r="C35" s="221" t="s">
        <v>26</v>
      </c>
      <c r="D35" s="239"/>
      <c r="E35" s="218">
        <f>COUNTIF(E8:E31,"C")</f>
        <v>0</v>
      </c>
      <c r="F35" s="209"/>
      <c r="G35" s="219">
        <f>COUNTIF(G8:G31,"C")</f>
        <v>0</v>
      </c>
      <c r="H35" s="209"/>
      <c r="I35" s="219">
        <f>COUNTIF(I8:I31,"C")</f>
        <v>0</v>
      </c>
      <c r="J35" s="209"/>
      <c r="K35" s="219">
        <f>COUNTIF(K8:K31,"C")</f>
        <v>0</v>
      </c>
      <c r="L35" s="209"/>
      <c r="M35" s="219">
        <f>COUNTIF(M8:M31,"C")</f>
        <v>0</v>
      </c>
      <c r="N35" s="209"/>
      <c r="O35" s="219">
        <f>COUNTIF(O8:O31,"C")</f>
        <v>0</v>
      </c>
      <c r="P35" s="209"/>
      <c r="Q35" s="219">
        <f>COUNTIF(Q8:Q31,"C")</f>
        <v>0</v>
      </c>
      <c r="R35" s="209"/>
      <c r="S35" s="219">
        <f>COUNTIF(S8:S31,"C")</f>
        <v>0</v>
      </c>
      <c r="T35" s="209"/>
      <c r="U35" s="209">
        <f>COUNTIF($U$8:$U$31,"C")</f>
        <v>1</v>
      </c>
      <c r="V35" s="209"/>
      <c r="W35" s="219">
        <f>COUNTIF(W8:W31,"C")</f>
        <v>1</v>
      </c>
      <c r="X35" s="209"/>
      <c r="Y35" s="219">
        <f>COUNTIF(Y8:Y31,"C")</f>
        <v>3</v>
      </c>
      <c r="Z35" s="209"/>
      <c r="AA35" s="219">
        <f>COUNTIF(AA8:AA31,"C")</f>
        <v>0</v>
      </c>
      <c r="AB35" s="209"/>
      <c r="AC35" s="219">
        <f>COUNTIF(AC8:AC31,"C")</f>
        <v>3</v>
      </c>
      <c r="AD35" s="209"/>
      <c r="AE35" s="219">
        <f>COUNTIF(AE8:AE31,"C")</f>
        <v>6</v>
      </c>
      <c r="AF35" s="209"/>
      <c r="AG35" s="219">
        <f>COUNTIF(AG8:AG31,"C")</f>
        <v>4</v>
      </c>
      <c r="AH35" s="219"/>
      <c r="AI35" s="219">
        <f>COUNTIF(AI8:AI31,"C")</f>
        <v>0</v>
      </c>
      <c r="AJ35" s="219"/>
      <c r="AK35" s="219">
        <f>COUNTIF(AK8:AK31,"C")</f>
        <v>1</v>
      </c>
      <c r="AL35" s="211"/>
      <c r="AM35" s="211"/>
      <c r="AN35" s="211"/>
      <c r="AO35" s="212"/>
      <c r="AP35" s="212"/>
      <c r="AQ35" s="212"/>
      <c r="AR35" s="212"/>
      <c r="AS35" s="212"/>
      <c r="AT35" s="222"/>
    </row>
    <row r="36" ht="15" customHeight="1" spans="1:46">
      <c r="A36" s="53" t="s">
        <v>413</v>
      </c>
      <c r="B36" s="54"/>
      <c r="C36" s="221" t="s">
        <v>27</v>
      </c>
      <c r="D36" s="239"/>
      <c r="E36" s="218">
        <f>COUNTIF(E8:E31,"S")</f>
        <v>0</v>
      </c>
      <c r="F36" s="209"/>
      <c r="G36" s="219">
        <f>COUNTIF(G8:G31,"S")</f>
        <v>0</v>
      </c>
      <c r="H36" s="209"/>
      <c r="I36" s="219">
        <f>COUNTIF(I8:I31,"S")</f>
        <v>0</v>
      </c>
      <c r="J36" s="209"/>
      <c r="K36" s="219">
        <f>COUNTIF(K8:K31,"S")</f>
        <v>0</v>
      </c>
      <c r="L36" s="209"/>
      <c r="M36" s="219">
        <f>COUNTIF(M8:M31,"S")</f>
        <v>0</v>
      </c>
      <c r="N36" s="209"/>
      <c r="O36" s="219">
        <f>COUNTIF(O8:O31,"S")</f>
        <v>0</v>
      </c>
      <c r="P36" s="209"/>
      <c r="Q36" s="219">
        <f>COUNTIF(Q8:Q31,"S")</f>
        <v>0</v>
      </c>
      <c r="R36" s="209"/>
      <c r="S36" s="219">
        <f>COUNTIF(S8:S31,"S")</f>
        <v>1</v>
      </c>
      <c r="T36" s="209"/>
      <c r="U36" s="209">
        <f>COUNTIF($U$8:$U$31,"S")</f>
        <v>0</v>
      </c>
      <c r="V36" s="209"/>
      <c r="W36" s="219">
        <f>COUNTIF(W8:W31,"S")</f>
        <v>2</v>
      </c>
      <c r="X36" s="209"/>
      <c r="Y36" s="219">
        <f>COUNTIF(Y8:Y31,"S")</f>
        <v>0</v>
      </c>
      <c r="Z36" s="209"/>
      <c r="AA36" s="219">
        <f>COUNTIF(AA8:AA31,"S")</f>
        <v>1</v>
      </c>
      <c r="AB36" s="209"/>
      <c r="AC36" s="219">
        <f>COUNTIF(AC8:AC31,"S")</f>
        <v>3</v>
      </c>
      <c r="AD36" s="209"/>
      <c r="AE36" s="219">
        <f>COUNTIF(AE8:AE31,"S")</f>
        <v>2</v>
      </c>
      <c r="AF36" s="209"/>
      <c r="AG36" s="219">
        <f>COUNTIF(AG8:AG31,"S")</f>
        <v>1</v>
      </c>
      <c r="AH36" s="219"/>
      <c r="AI36" s="219">
        <f>COUNTIF(AI8:AI31,"S")</f>
        <v>0</v>
      </c>
      <c r="AJ36" s="219"/>
      <c r="AK36" s="219">
        <f>COUNTIF(AK8:AK31,"S")</f>
        <v>0</v>
      </c>
      <c r="AL36" s="211"/>
      <c r="AM36" s="211"/>
      <c r="AN36" s="211"/>
      <c r="AO36" s="212"/>
      <c r="AP36" s="212"/>
      <c r="AQ36" s="212"/>
      <c r="AR36" s="212"/>
      <c r="AS36" s="212"/>
      <c r="AT36" s="222"/>
    </row>
    <row r="37" ht="15" customHeight="1" spans="1:46">
      <c r="A37" s="53" t="s">
        <v>414</v>
      </c>
      <c r="B37" s="54"/>
      <c r="C37" s="221" t="s">
        <v>28</v>
      </c>
      <c r="D37" s="239"/>
      <c r="E37" s="218">
        <f>COUNTIF(E8:E31,"W")</f>
        <v>24</v>
      </c>
      <c r="F37" s="209"/>
      <c r="G37" s="219">
        <f>COUNTIF(G8:G31,"W")</f>
        <v>24</v>
      </c>
      <c r="H37" s="209"/>
      <c r="I37" s="219">
        <f>COUNTIF(I8:I31,"W")</f>
        <v>24</v>
      </c>
      <c r="J37" s="209"/>
      <c r="K37" s="219">
        <f>COUNTIF(K8:K31,"W")</f>
        <v>24</v>
      </c>
      <c r="L37" s="209"/>
      <c r="M37" s="219">
        <f>COUNTIF(M8:M31,"W")</f>
        <v>24</v>
      </c>
      <c r="N37" s="209"/>
      <c r="O37" s="219">
        <f>COUNTIF(O8:O31,"W")</f>
        <v>24</v>
      </c>
      <c r="P37" s="209"/>
      <c r="Q37" s="219">
        <f>COUNTIF(Q8:Q31,"W")</f>
        <v>8</v>
      </c>
      <c r="R37" s="209"/>
      <c r="S37" s="219">
        <f>COUNTIF(S8:S31,"W")</f>
        <v>2</v>
      </c>
      <c r="T37" s="209"/>
      <c r="U37" s="209">
        <f>COUNTIF($U$8:$U$31,"W")</f>
        <v>0</v>
      </c>
      <c r="V37" s="209"/>
      <c r="W37" s="219">
        <f>COUNTIF(W8:W31,"W")</f>
        <v>0</v>
      </c>
      <c r="X37" s="209"/>
      <c r="Y37" s="219">
        <f>COUNTIF(Y8:Y31,"W")</f>
        <v>2</v>
      </c>
      <c r="Z37" s="209"/>
      <c r="AA37" s="219">
        <f>COUNTIF(AA8:AA31,"W")</f>
        <v>0</v>
      </c>
      <c r="AB37" s="209"/>
      <c r="AC37" s="219">
        <f>COUNTIF(AC8:AC31,"W")</f>
        <v>2</v>
      </c>
      <c r="AD37" s="209"/>
      <c r="AE37" s="219">
        <f>COUNTIF(AE8:AE31,"W")</f>
        <v>2</v>
      </c>
      <c r="AF37" s="209"/>
      <c r="AG37" s="219">
        <f>COUNTIF(AG8:AG31,"W")</f>
        <v>0</v>
      </c>
      <c r="AH37" s="219"/>
      <c r="AI37" s="219">
        <f>COUNTIF(AI8:AI31,"W")</f>
        <v>0</v>
      </c>
      <c r="AJ37" s="219"/>
      <c r="AK37" s="219">
        <f>COUNTIF(AK12:AK31,"W")</f>
        <v>0</v>
      </c>
      <c r="AL37" s="211"/>
      <c r="AM37" s="211"/>
      <c r="AN37" s="211"/>
      <c r="AO37" s="212"/>
      <c r="AP37" s="212"/>
      <c r="AQ37" s="212"/>
      <c r="AR37" s="212"/>
      <c r="AS37" s="212"/>
      <c r="AT37" s="222"/>
    </row>
    <row r="38" ht="15" customHeight="1" spans="1:46">
      <c r="A38" s="53"/>
      <c r="B38" s="54"/>
      <c r="C38" s="221" t="s">
        <v>29</v>
      </c>
      <c r="D38" s="239"/>
      <c r="E38" s="218">
        <f>COUNTIF(E8:E31,"AB")</f>
        <v>0</v>
      </c>
      <c r="F38" s="209"/>
      <c r="G38" s="219">
        <f>COUNTIF(G8:G31,"AB")</f>
        <v>0</v>
      </c>
      <c r="H38" s="209"/>
      <c r="I38" s="219">
        <f>COUNTIF(I8:I31,"AB")</f>
        <v>0</v>
      </c>
      <c r="J38" s="209"/>
      <c r="K38" s="219">
        <f>COUNTIF(K8:K31,"AB")</f>
        <v>0</v>
      </c>
      <c r="L38" s="209"/>
      <c r="M38" s="219">
        <f>COUNTIF(M8:M31,"AB")</f>
        <v>0</v>
      </c>
      <c r="N38" s="209"/>
      <c r="O38" s="219">
        <f>COUNTIF(O8:O31,"AB")</f>
        <v>0</v>
      </c>
      <c r="P38" s="209"/>
      <c r="Q38" s="219">
        <f>COUNTIF(Q8:Q31,"AB")</f>
        <v>0</v>
      </c>
      <c r="R38" s="209"/>
      <c r="S38" s="219">
        <f>COUNTIF(S8:S31,"AB")</f>
        <v>1</v>
      </c>
      <c r="T38" s="209"/>
      <c r="U38" s="209">
        <f>COUNTIF($U$8:$U$31,"AB")</f>
        <v>0</v>
      </c>
      <c r="V38" s="209"/>
      <c r="W38" s="219">
        <f>COUNTIF(W8:W31,"AB")</f>
        <v>0</v>
      </c>
      <c r="X38" s="209"/>
      <c r="Y38" s="219">
        <f>COUNTIF(Y8:Y31,"AB")</f>
        <v>0</v>
      </c>
      <c r="Z38" s="209"/>
      <c r="AA38" s="219">
        <f>COUNTIF(AA8:AA31,"AB")</f>
        <v>0</v>
      </c>
      <c r="AB38" s="209"/>
      <c r="AC38" s="219">
        <f>COUNTIF(AC8:AC31,"AB")</f>
        <v>0</v>
      </c>
      <c r="AD38" s="209"/>
      <c r="AE38" s="219">
        <f>COUNTIF(AE8:AE31,"AB")</f>
        <v>1</v>
      </c>
      <c r="AF38" s="209"/>
      <c r="AG38" s="219">
        <f>COUNTIF(AG8:AG31,"AB")</f>
        <v>0</v>
      </c>
      <c r="AH38" s="219"/>
      <c r="AI38" s="219">
        <f>COUNTIF(AI13:AI36,"A")</f>
        <v>0</v>
      </c>
      <c r="AJ38" s="219"/>
      <c r="AK38" s="219">
        <f>COUNTIF(AK8:AK31,"AB")</f>
        <v>0</v>
      </c>
      <c r="AL38" s="211"/>
      <c r="AM38" s="211"/>
      <c r="AN38" s="211"/>
      <c r="AO38" s="212"/>
      <c r="AP38" s="212"/>
      <c r="AQ38" s="212"/>
      <c r="AR38" s="212"/>
      <c r="AS38" s="212"/>
      <c r="AT38" s="222"/>
    </row>
    <row r="39" ht="15" customHeight="1" spans="1:46">
      <c r="A39" s="65" t="s">
        <v>7</v>
      </c>
      <c r="B39" s="66"/>
      <c r="C39" s="225"/>
      <c r="D39" s="254"/>
      <c r="E39" s="224">
        <f>SUM(E33:E38)</f>
        <v>24</v>
      </c>
      <c r="F39" s="227"/>
      <c r="G39" s="228">
        <f>SUM(G33:G38)</f>
        <v>24</v>
      </c>
      <c r="H39" s="227"/>
      <c r="I39" s="228">
        <f>SUM(I33:I38)</f>
        <v>24</v>
      </c>
      <c r="J39" s="227"/>
      <c r="K39" s="228">
        <f>SUM(K33:K38)</f>
        <v>24</v>
      </c>
      <c r="L39" s="227"/>
      <c r="M39" s="228">
        <f>SUM(M33:M38)</f>
        <v>24</v>
      </c>
      <c r="N39" s="227"/>
      <c r="O39" s="228">
        <f>SUM(O33:O38)</f>
        <v>24</v>
      </c>
      <c r="P39" s="227"/>
      <c r="Q39" s="228">
        <f>SUM(Q33:Q38)</f>
        <v>8</v>
      </c>
      <c r="R39" s="227"/>
      <c r="S39" s="228">
        <f>SUM(S33:S38)</f>
        <v>8</v>
      </c>
      <c r="T39" s="227"/>
      <c r="U39" s="227">
        <f>SUM(U33:U38)</f>
        <v>3</v>
      </c>
      <c r="V39" s="227"/>
      <c r="W39" s="228">
        <f>SUM(W33:W38)</f>
        <v>3</v>
      </c>
      <c r="X39" s="227"/>
      <c r="Y39" s="228">
        <f>SUM(Y33:Y38)</f>
        <v>7</v>
      </c>
      <c r="Z39" s="227"/>
      <c r="AA39" s="228">
        <f>SUM(AA33:AA38)</f>
        <v>5</v>
      </c>
      <c r="AB39" s="227"/>
      <c r="AC39" s="228">
        <f>SUM(AC33:AC38)</f>
        <v>10</v>
      </c>
      <c r="AD39" s="227"/>
      <c r="AE39" s="228">
        <f>SUM(AE33:AE38)</f>
        <v>16</v>
      </c>
      <c r="AF39" s="227"/>
      <c r="AG39" s="228">
        <f>SUM(AG33:AG38)</f>
        <v>6</v>
      </c>
      <c r="AH39" s="228"/>
      <c r="AI39" s="255">
        <f>SUM(AI33:AI38)</f>
        <v>0</v>
      </c>
      <c r="AJ39" s="228"/>
      <c r="AK39" s="255">
        <f>SUM(AK33:AK38)</f>
        <v>1</v>
      </c>
      <c r="AL39" s="211"/>
      <c r="AM39" s="211"/>
      <c r="AN39" s="211"/>
      <c r="AO39" s="212"/>
      <c r="AP39" s="212"/>
      <c r="AQ39" s="212"/>
      <c r="AR39" s="212"/>
      <c r="AS39" s="212"/>
      <c r="AT39" s="222"/>
    </row>
    <row r="40" ht="18.75" spans="1:46">
      <c r="A40" s="71"/>
      <c r="B40" s="72"/>
      <c r="C40" s="73"/>
      <c r="D40" s="71"/>
      <c r="E40" s="75"/>
      <c r="F40" s="74"/>
      <c r="G40" s="74"/>
      <c r="H40" s="74"/>
      <c r="I40" s="74"/>
      <c r="J40" s="74"/>
      <c r="K40" s="76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T40" s="2"/>
    </row>
    <row r="41" ht="18" spans="1:46">
      <c r="A41" s="47"/>
      <c r="B41" s="77"/>
      <c r="C41" s="78"/>
      <c r="D41" s="47"/>
      <c r="E41" s="79"/>
      <c r="F41" s="38"/>
      <c r="G41" s="38"/>
      <c r="H41" s="38"/>
      <c r="I41" s="38"/>
      <c r="J41" s="38"/>
      <c r="K41" s="80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256"/>
      <c r="AT41" s="2"/>
    </row>
  </sheetData>
  <mergeCells count="19">
    <mergeCell ref="A1:AG1"/>
    <mergeCell ref="A3:AS3"/>
    <mergeCell ref="A4:AS4"/>
    <mergeCell ref="D6:O6"/>
    <mergeCell ref="P6:W6"/>
    <mergeCell ref="X6:AC6"/>
    <mergeCell ref="AD6:AK6"/>
    <mergeCell ref="AO6:AT6"/>
    <mergeCell ref="A32:B32"/>
    <mergeCell ref="A33:B33"/>
    <mergeCell ref="A34:B34"/>
    <mergeCell ref="A35:B35"/>
    <mergeCell ref="A36:B36"/>
    <mergeCell ref="A37:B37"/>
    <mergeCell ref="A38:B38"/>
    <mergeCell ref="A39:B39"/>
    <mergeCell ref="A6:A7"/>
    <mergeCell ref="B6:B7"/>
    <mergeCell ref="C6:C7"/>
  </mergeCells>
  <pageMargins left="0.25" right="0.25" top="0.75" bottom="0.75" header="0.3" footer="0.3"/>
  <pageSetup paperSize="8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4"/>
  <sheetViews>
    <sheetView zoomScale="86" zoomScaleNormal="86" topLeftCell="A16" workbookViewId="0">
      <selection activeCell="AN41" sqref="AN41"/>
    </sheetView>
  </sheetViews>
  <sheetFormatPr defaultColWidth="9" defaultRowHeight="14.4"/>
  <cols>
    <col min="1" max="1" width="3.71296296296296" customWidth="1"/>
    <col min="2" max="2" width="28.8518518518519" customWidth="1"/>
    <col min="3" max="3" width="6.28703703703704" customWidth="1"/>
    <col min="4" max="37" width="3.71296296296296" customWidth="1"/>
    <col min="38" max="38" width="4.42592592592593" customWidth="1"/>
    <col min="39" max="39" width="5.42592592592593" customWidth="1"/>
    <col min="40" max="40" width="3.28703703703704" customWidth="1"/>
    <col min="41" max="46" width="2.71296296296296" customWidth="1"/>
  </cols>
  <sheetData>
    <row r="1" ht="25.8" spans="1:46">
      <c r="A1" s="3" t="s">
        <v>377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T1" s="2"/>
    </row>
    <row r="2" ht="7.15" customHeight="1" spans="1:46">
      <c r="K2" s="1"/>
      <c r="AT2" s="2"/>
    </row>
    <row r="3" ht="21" spans="1:46">
      <c r="A3" s="157" t="s">
        <v>1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2"/>
    </row>
    <row r="4" ht="21" spans="1:46">
      <c r="A4" s="5" t="s">
        <v>441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2"/>
    </row>
    <row r="5" ht="0.6" customHeight="1" spans="1:46">
      <c r="K5" s="1"/>
      <c r="AT5" s="2"/>
    </row>
    <row r="6" ht="10.9" customHeight="1" spans="1:46">
      <c r="A6" s="6" t="s">
        <v>3</v>
      </c>
      <c r="B6" s="7" t="s">
        <v>4</v>
      </c>
      <c r="C6" s="158" t="s">
        <v>5</v>
      </c>
      <c r="D6" s="159" t="s">
        <v>379</v>
      </c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1"/>
      <c r="P6" s="159"/>
      <c r="Q6" s="160"/>
      <c r="R6" s="160"/>
      <c r="S6" s="160"/>
      <c r="T6" s="160"/>
      <c r="U6" s="160"/>
      <c r="V6" s="160"/>
      <c r="W6" s="161"/>
      <c r="X6" s="159"/>
      <c r="Y6" s="160"/>
      <c r="Z6" s="160"/>
      <c r="AA6" s="160"/>
      <c r="AB6" s="160"/>
      <c r="AC6" s="161"/>
      <c r="AD6" s="162"/>
      <c r="AE6" s="163"/>
      <c r="AF6" s="163"/>
      <c r="AG6" s="163"/>
      <c r="AH6" s="163"/>
      <c r="AI6" s="163"/>
      <c r="AJ6" s="163"/>
      <c r="AK6" s="163"/>
      <c r="AL6" s="164"/>
      <c r="AM6" s="164"/>
      <c r="AN6" s="164"/>
      <c r="AO6" s="165" t="s">
        <v>7</v>
      </c>
      <c r="AP6" s="165"/>
      <c r="AQ6" s="165"/>
      <c r="AR6" s="165"/>
      <c r="AS6" s="165"/>
      <c r="AT6" s="165"/>
    </row>
    <row r="7" ht="48" customHeight="1" spans="1:46">
      <c r="A7" s="6"/>
      <c r="B7" s="6"/>
      <c r="C7" s="166"/>
      <c r="D7" s="167" t="s">
        <v>8</v>
      </c>
      <c r="E7" s="168"/>
      <c r="F7" s="169" t="s">
        <v>9</v>
      </c>
      <c r="G7" s="167"/>
      <c r="H7" s="167" t="s">
        <v>10</v>
      </c>
      <c r="I7" s="167"/>
      <c r="J7" s="167" t="s">
        <v>11</v>
      </c>
      <c r="K7" s="167"/>
      <c r="L7" s="167" t="s">
        <v>12</v>
      </c>
      <c r="M7" s="167"/>
      <c r="N7" s="167" t="s">
        <v>13</v>
      </c>
      <c r="O7" s="167"/>
      <c r="P7" s="170" t="s">
        <v>14</v>
      </c>
      <c r="Q7" s="171"/>
      <c r="R7" s="170" t="s">
        <v>15</v>
      </c>
      <c r="S7" s="170"/>
      <c r="T7" s="171" t="s">
        <v>16</v>
      </c>
      <c r="U7" s="171"/>
      <c r="V7" s="170" t="s">
        <v>380</v>
      </c>
      <c r="W7" s="171"/>
      <c r="X7" s="172" t="s">
        <v>17</v>
      </c>
      <c r="Y7" s="172"/>
      <c r="Z7" s="172" t="s">
        <v>18</v>
      </c>
      <c r="AA7" s="172"/>
      <c r="AB7" s="172" t="s">
        <v>19</v>
      </c>
      <c r="AC7" s="173"/>
      <c r="AD7" s="174" t="s">
        <v>20</v>
      </c>
      <c r="AE7" s="175"/>
      <c r="AF7" s="175" t="s">
        <v>381</v>
      </c>
      <c r="AG7" s="175"/>
      <c r="AH7" s="175" t="s">
        <v>382</v>
      </c>
      <c r="AI7" s="175"/>
      <c r="AJ7" s="176" t="s">
        <v>383</v>
      </c>
      <c r="AK7" s="117"/>
      <c r="AL7" s="177" t="s">
        <v>7</v>
      </c>
      <c r="AM7" s="177" t="s">
        <v>22</v>
      </c>
      <c r="AN7" s="177" t="s">
        <v>23</v>
      </c>
      <c r="AO7" s="178" t="s">
        <v>24</v>
      </c>
      <c r="AP7" s="179" t="s">
        <v>25</v>
      </c>
      <c r="AQ7" s="180" t="s">
        <v>26</v>
      </c>
      <c r="AR7" s="179" t="s">
        <v>27</v>
      </c>
      <c r="AS7" s="181" t="s">
        <v>28</v>
      </c>
      <c r="AT7" s="182" t="s">
        <v>29</v>
      </c>
    </row>
    <row r="8" ht="16.9" customHeight="1" spans="1:46">
      <c r="A8" s="39">
        <v>1</v>
      </c>
      <c r="B8" s="183" t="s">
        <v>442</v>
      </c>
      <c r="C8" s="184" t="s">
        <v>443</v>
      </c>
      <c r="D8" s="185"/>
      <c r="E8" s="186" t="str">
        <f>IF(D8&gt;=75,"A",IF(D8&gt;=65,"B",IF(D8&gt;=50,"C",IF(D8&gt;=40,"S","W"))))</f>
        <v>W</v>
      </c>
      <c r="F8" s="187"/>
      <c r="G8" s="188" t="str">
        <f>IF(F8&gt;=75,"A",IF(F8&gt;=65,"B",IF(F8&gt;=50,"C",IF(F8&gt;=40,"S","W"))))</f>
        <v>W</v>
      </c>
      <c r="H8" s="187"/>
      <c r="I8" s="188" t="str">
        <f>IF(H8&gt;=75,"A",IF(H8&gt;=65,"B",IF(H8&gt;=50,"C",IF(H8&gt;=40,"S","W"))))</f>
        <v>W</v>
      </c>
      <c r="J8" s="185"/>
      <c r="K8" s="188" t="str">
        <f>IF(J8&gt;=75,"A",IF(J8&gt;=65,"B",IF(J8&gt;=50,"C",IF(J8&gt;=40,"S","W"))))</f>
        <v>W</v>
      </c>
      <c r="L8" s="189"/>
      <c r="M8" s="188" t="str">
        <f>IF(L8&gt;=75,"A",IF(L8&gt;=65,"B",IF(L8&gt;=50,"C",IF(L8&gt;=40,"S","W"))))</f>
        <v>W</v>
      </c>
      <c r="N8" s="188">
        <v>32</v>
      </c>
      <c r="O8" s="189" t="str">
        <f>IF(N8&gt;=75,"A",IF(N8&gt;=65,"B",IF(N8&gt;=50,"C",IF(N8&gt;=40,"S","W"))))</f>
        <v>W</v>
      </c>
      <c r="P8" s="190"/>
      <c r="Q8" s="190" t="str">
        <f>IF(P8&gt;=75,"A",IF(P8&gt;=65,"B",IF(P8&gt;=50,"C",IF(P8&gt;=40,"S","W"))))</f>
        <v>W</v>
      </c>
      <c r="R8" s="190"/>
      <c r="S8" s="191"/>
      <c r="T8" s="191"/>
      <c r="U8" s="191"/>
      <c r="V8" s="190"/>
      <c r="W8" s="190"/>
      <c r="X8" s="192"/>
      <c r="Y8" s="193"/>
      <c r="Z8" s="193">
        <v>68</v>
      </c>
      <c r="AA8" s="193" t="str">
        <f>IF(Z8&gt;=75,"A",IF(Z8&gt;=65,"B",IF(Z8&gt;=50,"C",IF(Z8&gt;=36,"S","W"))))</f>
        <v>B</v>
      </c>
      <c r="AB8" s="193"/>
      <c r="AC8" s="193"/>
      <c r="AD8" s="194"/>
      <c r="AE8" s="195" t="str">
        <f>IF(AD8&gt;=75,"A",IF(AD8&gt;=65,"B",IF(AD8&gt;=50,"C",IF(AD8&gt;=36,"S","W"))))</f>
        <v>W</v>
      </c>
      <c r="AF8" s="195"/>
      <c r="AG8" s="195"/>
      <c r="AH8" s="196"/>
      <c r="AI8" s="195"/>
      <c r="AJ8" s="197"/>
      <c r="AK8" s="197"/>
      <c r="AL8" s="198">
        <f>SUM(D8,F8,H8,J8,L8,N8,P8,R8,T8,V8,X8,Z8,AB8,AD8,AF8,AH8,AJ8)</f>
        <v>100</v>
      </c>
      <c r="AM8" s="199">
        <f>AVERAGE(AL8/9)</f>
        <v>11.1111111111111</v>
      </c>
      <c r="AN8" s="198">
        <f>RANK(AL8,($AL$8:$AL$34),0)</f>
        <v>12</v>
      </c>
      <c r="AO8" s="200">
        <f t="shared" ref="AO8:AO34" si="0">COUNTIF(D8:AG8,"A")</f>
        <v>0</v>
      </c>
      <c r="AP8" s="200">
        <f t="shared" ref="AP8:AP34" si="1">COUNTIF(D8:AO8,"B")</f>
        <v>1</v>
      </c>
      <c r="AQ8" s="200">
        <f t="shared" ref="AQ8:AQ34" si="2">COUNTIF(D8:AP8,"C")</f>
        <v>0</v>
      </c>
      <c r="AR8" s="200">
        <f t="shared" ref="AR8:AR34" si="3">COUNTIF(E8:AQ8,"S")</f>
        <v>0</v>
      </c>
      <c r="AS8" s="201">
        <f t="shared" ref="AS8:AS34" si="4">COUNTIF(D8:AG8,"W")</f>
        <v>8</v>
      </c>
      <c r="AT8" s="202">
        <f t="shared" ref="AT8:AT34" si="5">(COUNTIF(D8:AK8,"AB"))/2</f>
        <v>0</v>
      </c>
    </row>
    <row r="9" ht="16.9" customHeight="1" spans="1:46">
      <c r="A9" s="24">
        <v>2</v>
      </c>
      <c r="B9" s="183" t="s">
        <v>444</v>
      </c>
      <c r="C9" s="184" t="s">
        <v>443</v>
      </c>
      <c r="D9" s="185"/>
      <c r="E9" s="186" t="str">
        <f t="shared" ref="E9:E34" si="6">IF(D9&gt;=75,"A",IF(D9&gt;=65,"B",IF(D9&gt;=50,"C",IF(D9&gt;=40,"S","W"))))</f>
        <v>W</v>
      </c>
      <c r="F9" s="187"/>
      <c r="G9" s="188" t="str">
        <f t="shared" ref="G9:G34" si="7">IF(F9&gt;=75,"A",IF(F9&gt;=65,"B",IF(F9&gt;=50,"C",IF(F9&gt;=40,"S","W"))))</f>
        <v>W</v>
      </c>
      <c r="H9" s="187"/>
      <c r="I9" s="188" t="str">
        <f t="shared" ref="I9:I34" si="8">IF(H9&gt;=75,"A",IF(H9&gt;=65,"B",IF(H9&gt;=50,"C",IF(H9&gt;=40,"S","W"))))</f>
        <v>W</v>
      </c>
      <c r="J9" s="185"/>
      <c r="K9" s="188" t="str">
        <f t="shared" ref="K9:K34" si="9">IF(J9&gt;=75,"A",IF(J9&gt;=65,"B",IF(J9&gt;=50,"C",IF(J9&gt;=40,"S","W"))))</f>
        <v>W</v>
      </c>
      <c r="L9" s="188"/>
      <c r="M9" s="188" t="str">
        <f t="shared" ref="M9:M34" si="10">IF(L9&gt;=75,"A",IF(L9&gt;=65,"B",IF(L9&gt;=50,"C",IF(L9&gt;=40,"S","W"))))</f>
        <v>W</v>
      </c>
      <c r="N9" s="188">
        <v>59</v>
      </c>
      <c r="O9" s="189" t="str">
        <f t="shared" ref="O9:O34" si="11">IF(N9&gt;=75,"A",IF(N9&gt;=65,"B",IF(N9&gt;=50,"C",IF(N9&gt;=40,"S","W"))))</f>
        <v>C</v>
      </c>
      <c r="P9" s="190"/>
      <c r="Q9" s="190" t="str">
        <f t="shared" ref="Q9:Q34" si="12">IF(P9&gt;=75,"A",IF(P9&gt;=65,"B",IF(P9&gt;=50,"C",IF(P9&gt;=40,"S","W"))))</f>
        <v>W</v>
      </c>
      <c r="R9" s="190"/>
      <c r="S9" s="191"/>
      <c r="T9" s="190"/>
      <c r="U9" s="191"/>
      <c r="V9" s="190"/>
      <c r="W9" s="190"/>
      <c r="X9" s="193"/>
      <c r="Y9" s="193"/>
      <c r="Z9" s="193">
        <v>74</v>
      </c>
      <c r="AA9" s="193" t="str">
        <f t="shared" ref="AA9:AA33" si="13">IF(Z9&gt;=75,"A",IF(Z9&gt;=65,"B",IF(Z9&gt;=50,"C",IF(Z9&gt;=36,"S","W"))))</f>
        <v>B</v>
      </c>
      <c r="AB9" s="193"/>
      <c r="AC9" s="193"/>
      <c r="AD9" s="194"/>
      <c r="AE9" s="195"/>
      <c r="AF9" s="195"/>
      <c r="AG9" s="195"/>
      <c r="AH9" s="195"/>
      <c r="AI9" s="195"/>
      <c r="AJ9" s="197"/>
      <c r="AK9" s="197"/>
      <c r="AL9" s="198">
        <f t="shared" ref="AL9:AL34" si="14">SUM(D9,F9,H9,J9,L9,N9,P9,R9,T9,V9,X9,Z9,AB9,AD9,AF9,AH9,AJ9)</f>
        <v>133</v>
      </c>
      <c r="AM9" s="199">
        <f t="shared" ref="AM9:AM34" si="15">AVERAGE(AL9/9)</f>
        <v>14.7777777777778</v>
      </c>
      <c r="AN9" s="198">
        <f t="shared" ref="AN9:AN34" si="16">RANK(AL9,($AL$8:$AL$34),0)</f>
        <v>7</v>
      </c>
      <c r="AO9" s="200">
        <f t="shared" si="0"/>
        <v>0</v>
      </c>
      <c r="AP9" s="200">
        <f t="shared" si="1"/>
        <v>1</v>
      </c>
      <c r="AQ9" s="200">
        <f t="shared" si="2"/>
        <v>1</v>
      </c>
      <c r="AR9" s="200">
        <f t="shared" si="3"/>
        <v>0</v>
      </c>
      <c r="AS9" s="201">
        <f t="shared" si="4"/>
        <v>6</v>
      </c>
      <c r="AT9" s="202">
        <f t="shared" si="5"/>
        <v>0</v>
      </c>
    </row>
    <row r="10" ht="16.9" customHeight="1" spans="1:46">
      <c r="A10" s="39">
        <v>3</v>
      </c>
      <c r="B10" s="183" t="s">
        <v>445</v>
      </c>
      <c r="C10" s="184" t="s">
        <v>443</v>
      </c>
      <c r="D10" s="185"/>
      <c r="E10" s="186" t="str">
        <f t="shared" si="6"/>
        <v>W</v>
      </c>
      <c r="F10" s="187"/>
      <c r="G10" s="188" t="str">
        <f t="shared" si="7"/>
        <v>W</v>
      </c>
      <c r="H10" s="187"/>
      <c r="I10" s="188" t="str">
        <f t="shared" si="8"/>
        <v>W</v>
      </c>
      <c r="J10" s="185"/>
      <c r="K10" s="188" t="str">
        <f t="shared" si="9"/>
        <v>W</v>
      </c>
      <c r="L10" s="188"/>
      <c r="M10" s="188" t="str">
        <f t="shared" si="10"/>
        <v>W</v>
      </c>
      <c r="N10" s="188">
        <v>27</v>
      </c>
      <c r="O10" s="189" t="str">
        <f t="shared" si="11"/>
        <v>W</v>
      </c>
      <c r="P10" s="190"/>
      <c r="Q10" s="190" t="str">
        <f t="shared" si="12"/>
        <v>W</v>
      </c>
      <c r="R10" s="190"/>
      <c r="S10" s="191"/>
      <c r="T10" s="190"/>
      <c r="U10" s="191"/>
      <c r="V10" s="190"/>
      <c r="W10" s="190"/>
      <c r="X10" s="193">
        <v>47</v>
      </c>
      <c r="Y10" s="193" t="str">
        <f t="shared" ref="Y10:Y23" si="17">IF(X10&gt;=75,"A",IF(X10&gt;=65,"B",IF(X10&gt;=50,"C",IF(X10&gt;=36,"S","W"))))</f>
        <v>S</v>
      </c>
      <c r="Z10" s="193"/>
      <c r="AA10" s="193"/>
      <c r="AB10" s="193"/>
      <c r="AC10" s="193"/>
      <c r="AD10" s="194"/>
      <c r="AE10" s="195" t="str">
        <f t="shared" ref="AE10:AE32" si="18">IF(AD10&gt;=75,"A",IF(AD10&gt;=65,"B",IF(AD10&gt;=50,"C",IF(AD10&gt;=36,"S","W"))))</f>
        <v>W</v>
      </c>
      <c r="AF10" s="195"/>
      <c r="AG10" s="195"/>
      <c r="AH10" s="195"/>
      <c r="AI10" s="195"/>
      <c r="AJ10" s="197"/>
      <c r="AK10" s="197"/>
      <c r="AL10" s="198">
        <f t="shared" si="14"/>
        <v>74</v>
      </c>
      <c r="AM10" s="199">
        <f t="shared" si="15"/>
        <v>8.22222222222222</v>
      </c>
      <c r="AN10" s="198">
        <f t="shared" si="16"/>
        <v>19</v>
      </c>
      <c r="AO10" s="200">
        <f t="shared" si="0"/>
        <v>0</v>
      </c>
      <c r="AP10" s="200">
        <f t="shared" si="1"/>
        <v>0</v>
      </c>
      <c r="AQ10" s="200">
        <f t="shared" si="2"/>
        <v>0</v>
      </c>
      <c r="AR10" s="200">
        <f t="shared" si="3"/>
        <v>1</v>
      </c>
      <c r="AS10" s="201">
        <f t="shared" si="4"/>
        <v>8</v>
      </c>
      <c r="AT10" s="202">
        <f t="shared" si="5"/>
        <v>0</v>
      </c>
    </row>
    <row r="11" ht="16.9" customHeight="1" spans="1:46">
      <c r="A11" s="24">
        <v>4</v>
      </c>
      <c r="B11" s="183" t="s">
        <v>446</v>
      </c>
      <c r="C11" s="203" t="s">
        <v>443</v>
      </c>
      <c r="D11" s="185"/>
      <c r="E11" s="142" t="str">
        <f t="shared" si="6"/>
        <v>W</v>
      </c>
      <c r="F11" s="187"/>
      <c r="G11" s="188" t="str">
        <f t="shared" si="7"/>
        <v>W</v>
      </c>
      <c r="H11" s="187"/>
      <c r="I11" s="187" t="str">
        <f t="shared" si="8"/>
        <v>W</v>
      </c>
      <c r="J11" s="185"/>
      <c r="K11" s="187" t="str">
        <f t="shared" si="9"/>
        <v>W</v>
      </c>
      <c r="L11" s="187"/>
      <c r="M11" s="188" t="str">
        <f t="shared" si="10"/>
        <v>W</v>
      </c>
      <c r="N11" s="187">
        <v>35</v>
      </c>
      <c r="O11" s="204" t="str">
        <f t="shared" si="11"/>
        <v>W</v>
      </c>
      <c r="P11" s="190"/>
      <c r="Q11" s="190" t="str">
        <f t="shared" si="12"/>
        <v>W</v>
      </c>
      <c r="R11" s="190">
        <v>34</v>
      </c>
      <c r="S11" s="191" t="str">
        <f t="shared" ref="S11:S18" si="19">IF(R11&gt;=75,"A",IF(R11&gt;=65,"B",IF(R11&gt;=50,"C",IF(R11&gt;=40,"S","W"))))</f>
        <v>W</v>
      </c>
      <c r="T11" s="190"/>
      <c r="U11" s="191"/>
      <c r="V11" s="190"/>
      <c r="W11" s="190"/>
      <c r="X11" s="193">
        <v>40</v>
      </c>
      <c r="Y11" s="193" t="s">
        <v>29</v>
      </c>
      <c r="Z11" s="193"/>
      <c r="AA11" s="193"/>
      <c r="AB11" s="193"/>
      <c r="AC11" s="193"/>
      <c r="AD11" s="194"/>
      <c r="AE11" s="195" t="str">
        <f t="shared" si="18"/>
        <v>W</v>
      </c>
      <c r="AF11" s="195"/>
      <c r="AG11" s="195"/>
      <c r="AH11" s="195"/>
      <c r="AI11" s="195"/>
      <c r="AJ11" s="197"/>
      <c r="AK11" s="197"/>
      <c r="AL11" s="205">
        <f t="shared" si="14"/>
        <v>109</v>
      </c>
      <c r="AM11" s="206">
        <f t="shared" si="15"/>
        <v>12.1111111111111</v>
      </c>
      <c r="AN11" s="205">
        <f t="shared" si="16"/>
        <v>10</v>
      </c>
      <c r="AO11" s="207">
        <f t="shared" si="0"/>
        <v>0</v>
      </c>
      <c r="AP11" s="207">
        <f t="shared" si="1"/>
        <v>0</v>
      </c>
      <c r="AQ11" s="207">
        <f t="shared" si="2"/>
        <v>0</v>
      </c>
      <c r="AR11" s="207">
        <f t="shared" si="3"/>
        <v>0</v>
      </c>
      <c r="AS11" s="208">
        <f t="shared" si="4"/>
        <v>9</v>
      </c>
      <c r="AT11" s="202">
        <f t="shared" si="5"/>
        <v>0.5</v>
      </c>
    </row>
    <row r="12" ht="16.9" customHeight="1" spans="1:46">
      <c r="A12" s="39">
        <v>5</v>
      </c>
      <c r="B12" s="183" t="s">
        <v>447</v>
      </c>
      <c r="C12" s="184" t="s">
        <v>443</v>
      </c>
      <c r="D12" s="185"/>
      <c r="E12" s="186" t="str">
        <f t="shared" si="6"/>
        <v>W</v>
      </c>
      <c r="F12" s="187"/>
      <c r="G12" s="188" t="str">
        <f t="shared" si="7"/>
        <v>W</v>
      </c>
      <c r="H12" s="187"/>
      <c r="I12" s="188" t="str">
        <f t="shared" si="8"/>
        <v>W</v>
      </c>
      <c r="J12" s="185"/>
      <c r="K12" s="188" t="str">
        <f t="shared" si="9"/>
        <v>W</v>
      </c>
      <c r="L12" s="187"/>
      <c r="M12" s="188" t="str">
        <f t="shared" si="10"/>
        <v>W</v>
      </c>
      <c r="N12" s="188">
        <v>14</v>
      </c>
      <c r="O12" s="189" t="str">
        <f t="shared" si="11"/>
        <v>W</v>
      </c>
      <c r="P12" s="190"/>
      <c r="Q12" s="190" t="str">
        <f t="shared" si="12"/>
        <v>W</v>
      </c>
      <c r="R12" s="190"/>
      <c r="S12" s="191"/>
      <c r="T12" s="190"/>
      <c r="U12" s="191"/>
      <c r="V12" s="190"/>
      <c r="W12" s="190"/>
      <c r="X12" s="193">
        <v>24</v>
      </c>
      <c r="Y12" s="193" t="str">
        <f t="shared" si="17"/>
        <v>W</v>
      </c>
      <c r="Z12" s="193"/>
      <c r="AA12" s="193"/>
      <c r="AB12" s="193"/>
      <c r="AC12" s="193"/>
      <c r="AD12" s="194"/>
      <c r="AE12" s="195"/>
      <c r="AF12" s="195"/>
      <c r="AG12" s="195"/>
      <c r="AH12" s="195"/>
      <c r="AI12" s="195"/>
      <c r="AJ12" s="197"/>
      <c r="AK12" s="197"/>
      <c r="AL12" s="205">
        <f t="shared" si="14"/>
        <v>38</v>
      </c>
      <c r="AM12" s="206">
        <f t="shared" si="15"/>
        <v>4.22222222222222</v>
      </c>
      <c r="AN12" s="205">
        <f t="shared" si="16"/>
        <v>26</v>
      </c>
      <c r="AO12" s="200">
        <f t="shared" si="0"/>
        <v>0</v>
      </c>
      <c r="AP12" s="200">
        <f t="shared" si="1"/>
        <v>0</v>
      </c>
      <c r="AQ12" s="200">
        <f t="shared" si="2"/>
        <v>0</v>
      </c>
      <c r="AR12" s="200">
        <f t="shared" si="3"/>
        <v>0</v>
      </c>
      <c r="AS12" s="201">
        <f t="shared" si="4"/>
        <v>8</v>
      </c>
      <c r="AT12" s="202">
        <f t="shared" si="5"/>
        <v>0</v>
      </c>
    </row>
    <row r="13" ht="16.9" customHeight="1" spans="1:46">
      <c r="A13" s="24">
        <v>6</v>
      </c>
      <c r="B13" s="183" t="s">
        <v>448</v>
      </c>
      <c r="C13" s="184" t="s">
        <v>443</v>
      </c>
      <c r="D13" s="185"/>
      <c r="E13" s="186" t="str">
        <f t="shared" si="6"/>
        <v>W</v>
      </c>
      <c r="F13" s="187"/>
      <c r="G13" s="188" t="str">
        <f t="shared" si="7"/>
        <v>W</v>
      </c>
      <c r="H13" s="187"/>
      <c r="I13" s="188" t="str">
        <f t="shared" si="8"/>
        <v>W</v>
      </c>
      <c r="J13" s="185"/>
      <c r="K13" s="188" t="str">
        <f t="shared" si="9"/>
        <v>W</v>
      </c>
      <c r="L13" s="188"/>
      <c r="M13" s="188" t="str">
        <f t="shared" si="10"/>
        <v>W</v>
      </c>
      <c r="N13" s="188">
        <v>51</v>
      </c>
      <c r="O13" s="189" t="str">
        <f t="shared" si="11"/>
        <v>C</v>
      </c>
      <c r="P13" s="190"/>
      <c r="Q13" s="190" t="str">
        <f t="shared" si="12"/>
        <v>W</v>
      </c>
      <c r="R13" s="190"/>
      <c r="S13" s="191"/>
      <c r="T13" s="190"/>
      <c r="U13" s="191"/>
      <c r="V13" s="190"/>
      <c r="W13" s="190"/>
      <c r="X13" s="193"/>
      <c r="Y13" s="193"/>
      <c r="Z13" s="193"/>
      <c r="AA13" s="193"/>
      <c r="AB13" s="193">
        <v>68</v>
      </c>
      <c r="AC13" s="193" t="str">
        <f t="shared" ref="AC13:AC34" si="20">IF(AB13&gt;=75,"A",IF(AB13&gt;=65,"B",IF(AB13&gt;=50,"C",IF(AB13&gt;=36,"S","W"))))</f>
        <v>B</v>
      </c>
      <c r="AD13" s="194"/>
      <c r="AE13" s="195" t="str">
        <f t="shared" si="18"/>
        <v>W</v>
      </c>
      <c r="AF13" s="195"/>
      <c r="AG13" s="195"/>
      <c r="AH13" s="195"/>
      <c r="AI13" s="195"/>
      <c r="AJ13" s="197"/>
      <c r="AK13" s="197"/>
      <c r="AL13" s="205">
        <f t="shared" si="14"/>
        <v>119</v>
      </c>
      <c r="AM13" s="206">
        <f t="shared" si="15"/>
        <v>13.2222222222222</v>
      </c>
      <c r="AN13" s="205">
        <f t="shared" si="16"/>
        <v>8</v>
      </c>
      <c r="AO13" s="200">
        <f t="shared" si="0"/>
        <v>0</v>
      </c>
      <c r="AP13" s="200">
        <f t="shared" si="1"/>
        <v>1</v>
      </c>
      <c r="AQ13" s="200">
        <f t="shared" si="2"/>
        <v>1</v>
      </c>
      <c r="AR13" s="200">
        <f t="shared" si="3"/>
        <v>0</v>
      </c>
      <c r="AS13" s="201">
        <f t="shared" si="4"/>
        <v>7</v>
      </c>
      <c r="AT13" s="202">
        <f t="shared" si="5"/>
        <v>0</v>
      </c>
    </row>
    <row r="14" ht="16.9" customHeight="1" spans="1:46">
      <c r="A14" s="39">
        <v>7</v>
      </c>
      <c r="B14" s="183" t="s">
        <v>449</v>
      </c>
      <c r="C14" s="203" t="s">
        <v>443</v>
      </c>
      <c r="D14" s="185"/>
      <c r="E14" s="142" t="str">
        <f t="shared" si="6"/>
        <v>W</v>
      </c>
      <c r="F14" s="187"/>
      <c r="G14" s="188" t="str">
        <f t="shared" si="7"/>
        <v>W</v>
      </c>
      <c r="H14" s="187"/>
      <c r="I14" s="188" t="str">
        <f t="shared" si="8"/>
        <v>W</v>
      </c>
      <c r="J14" s="185"/>
      <c r="K14" s="187" t="str">
        <f t="shared" si="9"/>
        <v>W</v>
      </c>
      <c r="L14" s="187"/>
      <c r="M14" s="188" t="str">
        <f t="shared" si="10"/>
        <v>W</v>
      </c>
      <c r="N14" s="187">
        <v>24</v>
      </c>
      <c r="O14" s="204" t="str">
        <f t="shared" si="11"/>
        <v>W</v>
      </c>
      <c r="P14" s="190"/>
      <c r="Q14" s="190" t="str">
        <f t="shared" si="12"/>
        <v>W</v>
      </c>
      <c r="R14" s="190"/>
      <c r="S14" s="191"/>
      <c r="T14" s="190"/>
      <c r="U14" s="191"/>
      <c r="V14" s="190"/>
      <c r="W14" s="190"/>
      <c r="X14" s="193"/>
      <c r="Y14" s="193"/>
      <c r="Z14" s="193">
        <v>37</v>
      </c>
      <c r="AA14" s="193" t="str">
        <f t="shared" si="13"/>
        <v>S</v>
      </c>
      <c r="AB14" s="193"/>
      <c r="AC14" s="193"/>
      <c r="AD14" s="194"/>
      <c r="AE14" s="195" t="str">
        <f t="shared" si="18"/>
        <v>W</v>
      </c>
      <c r="AF14" s="195"/>
      <c r="AG14" s="195"/>
      <c r="AH14" s="195"/>
      <c r="AI14" s="195"/>
      <c r="AJ14" s="197"/>
      <c r="AK14" s="197"/>
      <c r="AL14" s="205">
        <f t="shared" si="14"/>
        <v>61</v>
      </c>
      <c r="AM14" s="206">
        <f t="shared" si="15"/>
        <v>6.77777777777778</v>
      </c>
      <c r="AN14" s="205">
        <f t="shared" si="16"/>
        <v>22</v>
      </c>
      <c r="AO14" s="207">
        <f t="shared" si="0"/>
        <v>0</v>
      </c>
      <c r="AP14" s="207">
        <f t="shared" si="1"/>
        <v>0</v>
      </c>
      <c r="AQ14" s="207">
        <f t="shared" si="2"/>
        <v>0</v>
      </c>
      <c r="AR14" s="207">
        <f t="shared" si="3"/>
        <v>1</v>
      </c>
      <c r="AS14" s="208">
        <f t="shared" si="4"/>
        <v>8</v>
      </c>
      <c r="AT14" s="202">
        <f t="shared" si="5"/>
        <v>0</v>
      </c>
    </row>
    <row r="15" ht="16.9" customHeight="1" spans="1:46">
      <c r="A15" s="24">
        <v>8</v>
      </c>
      <c r="B15" s="183" t="s">
        <v>450</v>
      </c>
      <c r="C15" s="184" t="s">
        <v>443</v>
      </c>
      <c r="D15" s="185"/>
      <c r="E15" s="186" t="str">
        <f t="shared" si="6"/>
        <v>W</v>
      </c>
      <c r="F15" s="187"/>
      <c r="G15" s="188" t="str">
        <f t="shared" si="7"/>
        <v>W</v>
      </c>
      <c r="H15" s="187"/>
      <c r="I15" s="188" t="str">
        <f t="shared" si="8"/>
        <v>W</v>
      </c>
      <c r="J15" s="185"/>
      <c r="K15" s="188" t="str">
        <f t="shared" si="9"/>
        <v>W</v>
      </c>
      <c r="L15" s="188"/>
      <c r="M15" s="188" t="str">
        <f t="shared" si="10"/>
        <v>W</v>
      </c>
      <c r="N15" s="188">
        <v>26</v>
      </c>
      <c r="O15" s="189" t="str">
        <f t="shared" si="11"/>
        <v>W</v>
      </c>
      <c r="P15" s="190"/>
      <c r="Q15" s="190" t="str">
        <f t="shared" si="12"/>
        <v>W</v>
      </c>
      <c r="R15" s="190"/>
      <c r="S15" s="191"/>
      <c r="T15" s="190"/>
      <c r="U15" s="191"/>
      <c r="V15" s="190"/>
      <c r="W15" s="190"/>
      <c r="X15" s="193"/>
      <c r="Y15" s="193"/>
      <c r="Z15" s="193">
        <v>43</v>
      </c>
      <c r="AA15" s="193" t="str">
        <f t="shared" si="13"/>
        <v>S</v>
      </c>
      <c r="AB15" s="193"/>
      <c r="AC15" s="193"/>
      <c r="AD15" s="194"/>
      <c r="AE15" s="195" t="str">
        <f t="shared" si="18"/>
        <v>W</v>
      </c>
      <c r="AF15" s="195"/>
      <c r="AG15" s="195"/>
      <c r="AH15" s="195"/>
      <c r="AI15" s="195"/>
      <c r="AJ15" s="197"/>
      <c r="AK15" s="197"/>
      <c r="AL15" s="205">
        <f t="shared" si="14"/>
        <v>69</v>
      </c>
      <c r="AM15" s="206">
        <f t="shared" si="15"/>
        <v>7.66666666666667</v>
      </c>
      <c r="AN15" s="205">
        <f t="shared" si="16"/>
        <v>20</v>
      </c>
      <c r="AO15" s="200">
        <f t="shared" si="0"/>
        <v>0</v>
      </c>
      <c r="AP15" s="200">
        <f t="shared" si="1"/>
        <v>0</v>
      </c>
      <c r="AQ15" s="200">
        <f t="shared" si="2"/>
        <v>0</v>
      </c>
      <c r="AR15" s="200">
        <f t="shared" si="3"/>
        <v>1</v>
      </c>
      <c r="AS15" s="201">
        <f t="shared" si="4"/>
        <v>8</v>
      </c>
      <c r="AT15" s="202">
        <f t="shared" si="5"/>
        <v>0</v>
      </c>
    </row>
    <row r="16" ht="16.9" customHeight="1" spans="1:46">
      <c r="A16" s="39">
        <v>9</v>
      </c>
      <c r="B16" s="183" t="s">
        <v>451</v>
      </c>
      <c r="C16" s="184" t="s">
        <v>443</v>
      </c>
      <c r="D16" s="185"/>
      <c r="E16" s="186" t="str">
        <f t="shared" si="6"/>
        <v>W</v>
      </c>
      <c r="F16" s="187"/>
      <c r="G16" s="188" t="str">
        <f t="shared" si="7"/>
        <v>W</v>
      </c>
      <c r="H16" s="187"/>
      <c r="I16" s="188" t="str">
        <f t="shared" si="8"/>
        <v>W</v>
      </c>
      <c r="J16" s="185"/>
      <c r="K16" s="188" t="str">
        <f t="shared" si="9"/>
        <v>W</v>
      </c>
      <c r="L16" s="188"/>
      <c r="M16" s="188" t="str">
        <f t="shared" si="10"/>
        <v>W</v>
      </c>
      <c r="N16" s="188">
        <v>52</v>
      </c>
      <c r="O16" s="189" t="str">
        <f t="shared" si="11"/>
        <v>C</v>
      </c>
      <c r="P16" s="190"/>
      <c r="Q16" s="190" t="str">
        <f t="shared" si="12"/>
        <v>W</v>
      </c>
      <c r="R16" s="190"/>
      <c r="S16" s="191"/>
      <c r="T16" s="190"/>
      <c r="U16" s="191"/>
      <c r="V16" s="190">
        <v>55</v>
      </c>
      <c r="W16" s="190" t="str">
        <f t="shared" ref="W16" si="21">IF(V16&gt;=75,"A",IF(V16&gt;=65,"B",IF(V16&gt;=50,"C",IF(V16&gt;=36,"S","W"))))</f>
        <v>C</v>
      </c>
      <c r="X16" s="193">
        <v>55</v>
      </c>
      <c r="Y16" s="193" t="str">
        <f t="shared" si="17"/>
        <v>C</v>
      </c>
      <c r="Z16" s="193"/>
      <c r="AA16" s="193"/>
      <c r="AB16" s="193"/>
      <c r="AC16" s="193"/>
      <c r="AD16" s="194"/>
      <c r="AE16" s="195" t="str">
        <f t="shared" si="18"/>
        <v>W</v>
      </c>
      <c r="AF16" s="195"/>
      <c r="AG16" s="195"/>
      <c r="AH16" s="195"/>
      <c r="AI16" s="195"/>
      <c r="AJ16" s="197"/>
      <c r="AK16" s="197"/>
      <c r="AL16" s="205">
        <f t="shared" si="14"/>
        <v>162</v>
      </c>
      <c r="AM16" s="206">
        <f t="shared" si="15"/>
        <v>18</v>
      </c>
      <c r="AN16" s="205">
        <f t="shared" si="16"/>
        <v>6</v>
      </c>
      <c r="AO16" s="200">
        <f t="shared" si="0"/>
        <v>0</v>
      </c>
      <c r="AP16" s="200">
        <f t="shared" si="1"/>
        <v>0</v>
      </c>
      <c r="AQ16" s="200">
        <f t="shared" si="2"/>
        <v>3</v>
      </c>
      <c r="AR16" s="200">
        <f t="shared" si="3"/>
        <v>0</v>
      </c>
      <c r="AS16" s="201">
        <f t="shared" si="4"/>
        <v>7</v>
      </c>
      <c r="AT16" s="202">
        <f t="shared" si="5"/>
        <v>0</v>
      </c>
    </row>
    <row r="17" ht="16.9" customHeight="1" spans="1:46">
      <c r="A17" s="24">
        <v>10</v>
      </c>
      <c r="B17" s="183" t="s">
        <v>452</v>
      </c>
      <c r="C17" s="203" t="s">
        <v>443</v>
      </c>
      <c r="D17" s="185"/>
      <c r="E17" s="142" t="str">
        <f t="shared" si="6"/>
        <v>W</v>
      </c>
      <c r="F17" s="187"/>
      <c r="G17" s="188" t="str">
        <f t="shared" si="7"/>
        <v>W</v>
      </c>
      <c r="H17" s="187"/>
      <c r="I17" s="188" t="str">
        <f t="shared" si="8"/>
        <v>W</v>
      </c>
      <c r="J17" s="185"/>
      <c r="K17" s="188" t="str">
        <f t="shared" si="9"/>
        <v>W</v>
      </c>
      <c r="L17" s="187"/>
      <c r="M17" s="188" t="str">
        <f t="shared" si="10"/>
        <v>W</v>
      </c>
      <c r="N17" s="187">
        <v>48</v>
      </c>
      <c r="O17" s="189" t="str">
        <f t="shared" si="11"/>
        <v>S</v>
      </c>
      <c r="P17" s="190"/>
      <c r="Q17" s="190" t="str">
        <f t="shared" si="12"/>
        <v>W</v>
      </c>
      <c r="R17" s="190"/>
      <c r="S17" s="191"/>
      <c r="T17" s="190"/>
      <c r="U17" s="191"/>
      <c r="V17" s="190"/>
      <c r="W17" s="190"/>
      <c r="X17" s="193"/>
      <c r="Y17" s="193"/>
      <c r="Z17" s="193" t="s">
        <v>29</v>
      </c>
      <c r="AA17" s="193" t="s">
        <v>29</v>
      </c>
      <c r="AB17" s="193"/>
      <c r="AC17" s="193"/>
      <c r="AD17" s="194"/>
      <c r="AE17" s="195" t="str">
        <f t="shared" si="18"/>
        <v>W</v>
      </c>
      <c r="AF17" s="195"/>
      <c r="AG17" s="195"/>
      <c r="AH17" s="195"/>
      <c r="AI17" s="195"/>
      <c r="AJ17" s="197"/>
      <c r="AK17" s="197"/>
      <c r="AL17" s="205">
        <f t="shared" si="14"/>
        <v>48</v>
      </c>
      <c r="AM17" s="206">
        <f t="shared" si="15"/>
        <v>5.33333333333333</v>
      </c>
      <c r="AN17" s="205">
        <f t="shared" si="16"/>
        <v>24</v>
      </c>
      <c r="AO17" s="207">
        <f t="shared" si="0"/>
        <v>0</v>
      </c>
      <c r="AP17" s="207">
        <f t="shared" si="1"/>
        <v>0</v>
      </c>
      <c r="AQ17" s="207">
        <f t="shared" si="2"/>
        <v>0</v>
      </c>
      <c r="AR17" s="207">
        <f t="shared" si="3"/>
        <v>1</v>
      </c>
      <c r="AS17" s="208">
        <f t="shared" si="4"/>
        <v>7</v>
      </c>
      <c r="AT17" s="202">
        <f t="shared" si="5"/>
        <v>1</v>
      </c>
    </row>
    <row r="18" ht="16.9" customHeight="1" spans="1:46">
      <c r="A18" s="39">
        <v>11</v>
      </c>
      <c r="B18" s="183" t="s">
        <v>453</v>
      </c>
      <c r="C18" s="203" t="s">
        <v>443</v>
      </c>
      <c r="D18" s="185"/>
      <c r="E18" s="142" t="str">
        <f t="shared" si="6"/>
        <v>W</v>
      </c>
      <c r="F18" s="187"/>
      <c r="G18" s="188" t="str">
        <f t="shared" si="7"/>
        <v>W</v>
      </c>
      <c r="H18" s="187"/>
      <c r="I18" s="188" t="str">
        <f t="shared" si="8"/>
        <v>W</v>
      </c>
      <c r="J18" s="185"/>
      <c r="K18" s="188" t="str">
        <f t="shared" si="9"/>
        <v>W</v>
      </c>
      <c r="L18" s="187"/>
      <c r="M18" s="188" t="str">
        <f t="shared" si="10"/>
        <v>W</v>
      </c>
      <c r="N18" s="187">
        <v>37</v>
      </c>
      <c r="O18" s="189" t="str">
        <f t="shared" si="11"/>
        <v>W</v>
      </c>
      <c r="P18" s="190"/>
      <c r="Q18" s="190" t="str">
        <f t="shared" si="12"/>
        <v>W</v>
      </c>
      <c r="R18" s="190"/>
      <c r="S18" s="191"/>
      <c r="T18" s="190"/>
      <c r="U18" s="191"/>
      <c r="V18" s="190"/>
      <c r="W18" s="190"/>
      <c r="X18" s="193"/>
      <c r="Y18" s="193"/>
      <c r="Z18" s="193"/>
      <c r="AA18" s="193"/>
      <c r="AB18" s="193">
        <v>27</v>
      </c>
      <c r="AC18" s="193" t="str">
        <f t="shared" si="20"/>
        <v>W</v>
      </c>
      <c r="AD18" s="194"/>
      <c r="AE18" s="195"/>
      <c r="AF18" s="195">
        <v>45</v>
      </c>
      <c r="AG18" s="195" t="str">
        <f t="shared" ref="AG9:AG30" si="22">IF(AF18&gt;=75,"A",IF(AF18&gt;=65,"B",IF(AF18&gt;=50,"C",IF(AF18&gt;=36,"S","W"))))</f>
        <v>S</v>
      </c>
      <c r="AH18" s="195"/>
      <c r="AI18" s="195"/>
      <c r="AJ18" s="197"/>
      <c r="AK18" s="197"/>
      <c r="AL18" s="205">
        <f t="shared" si="14"/>
        <v>109</v>
      </c>
      <c r="AM18" s="206">
        <f t="shared" si="15"/>
        <v>12.1111111111111</v>
      </c>
      <c r="AN18" s="205">
        <f t="shared" si="16"/>
        <v>10</v>
      </c>
      <c r="AO18" s="207">
        <f t="shared" si="0"/>
        <v>0</v>
      </c>
      <c r="AP18" s="207">
        <f t="shared" si="1"/>
        <v>0</v>
      </c>
      <c r="AQ18" s="207">
        <f t="shared" si="2"/>
        <v>0</v>
      </c>
      <c r="AR18" s="207">
        <f t="shared" si="3"/>
        <v>1</v>
      </c>
      <c r="AS18" s="208">
        <f t="shared" si="4"/>
        <v>8</v>
      </c>
      <c r="AT18" s="202">
        <f t="shared" si="5"/>
        <v>0</v>
      </c>
    </row>
    <row r="19" ht="16.9" customHeight="1" spans="1:46">
      <c r="A19" s="24">
        <v>12</v>
      </c>
      <c r="B19" s="183" t="s">
        <v>454</v>
      </c>
      <c r="C19" s="203" t="s">
        <v>443</v>
      </c>
      <c r="D19" s="185"/>
      <c r="E19" s="142" t="str">
        <f t="shared" si="6"/>
        <v>W</v>
      </c>
      <c r="F19" s="187"/>
      <c r="G19" s="188" t="str">
        <f t="shared" si="7"/>
        <v>W</v>
      </c>
      <c r="H19" s="187"/>
      <c r="I19" s="188" t="str">
        <f t="shared" si="8"/>
        <v>W</v>
      </c>
      <c r="J19" s="185"/>
      <c r="K19" s="188" t="str">
        <f t="shared" si="9"/>
        <v>W</v>
      </c>
      <c r="L19" s="187"/>
      <c r="M19" s="188" t="str">
        <f t="shared" si="10"/>
        <v>W</v>
      </c>
      <c r="N19" s="187">
        <v>9</v>
      </c>
      <c r="O19" s="189" t="str">
        <f t="shared" si="11"/>
        <v>W</v>
      </c>
      <c r="P19" s="190"/>
      <c r="Q19" s="190" t="str">
        <f t="shared" si="12"/>
        <v>W</v>
      </c>
      <c r="R19" s="190">
        <v>10</v>
      </c>
      <c r="S19" s="191" t="str">
        <f t="shared" ref="S19:S34" si="23">IF(R19&gt;=75,"A",IF(R19&gt;=65,"B",IF(R19&gt;=50,"C",IF(R19&gt;=40,"S","W"))))</f>
        <v>W</v>
      </c>
      <c r="T19" s="190"/>
      <c r="U19" s="191"/>
      <c r="V19" s="190"/>
      <c r="W19" s="190"/>
      <c r="X19" s="193">
        <v>24</v>
      </c>
      <c r="Y19" s="193" t="str">
        <f t="shared" si="17"/>
        <v>W</v>
      </c>
      <c r="Z19" s="193"/>
      <c r="AA19" s="193"/>
      <c r="AB19" s="193"/>
      <c r="AC19" s="193"/>
      <c r="AD19" s="194"/>
      <c r="AE19" s="195" t="str">
        <f t="shared" si="18"/>
        <v>W</v>
      </c>
      <c r="AF19" s="195"/>
      <c r="AG19" s="195"/>
      <c r="AH19" s="195"/>
      <c r="AI19" s="195"/>
      <c r="AJ19" s="197"/>
      <c r="AK19" s="197"/>
      <c r="AL19" s="205">
        <f t="shared" si="14"/>
        <v>43</v>
      </c>
      <c r="AM19" s="206">
        <f t="shared" si="15"/>
        <v>4.77777777777778</v>
      </c>
      <c r="AN19" s="205">
        <f t="shared" si="16"/>
        <v>25</v>
      </c>
      <c r="AO19" s="207">
        <f t="shared" si="0"/>
        <v>0</v>
      </c>
      <c r="AP19" s="207">
        <f t="shared" si="1"/>
        <v>0</v>
      </c>
      <c r="AQ19" s="207">
        <f t="shared" si="2"/>
        <v>0</v>
      </c>
      <c r="AR19" s="207">
        <f t="shared" si="3"/>
        <v>0</v>
      </c>
      <c r="AS19" s="208">
        <f t="shared" si="4"/>
        <v>10</v>
      </c>
      <c r="AT19" s="202">
        <f t="shared" si="5"/>
        <v>0</v>
      </c>
    </row>
    <row r="20" ht="16.9" customHeight="1" spans="1:46">
      <c r="A20" s="39">
        <v>13</v>
      </c>
      <c r="B20" s="183" t="s">
        <v>455</v>
      </c>
      <c r="C20" s="184" t="s">
        <v>443</v>
      </c>
      <c r="D20" s="185"/>
      <c r="E20" s="186" t="str">
        <f t="shared" si="6"/>
        <v>W</v>
      </c>
      <c r="F20" s="187"/>
      <c r="G20" s="188" t="str">
        <f t="shared" si="7"/>
        <v>W</v>
      </c>
      <c r="H20" s="187"/>
      <c r="I20" s="188" t="str">
        <f t="shared" si="8"/>
        <v>W</v>
      </c>
      <c r="J20" s="185"/>
      <c r="K20" s="188" t="str">
        <f t="shared" si="9"/>
        <v>W</v>
      </c>
      <c r="L20" s="188"/>
      <c r="M20" s="188" t="str">
        <f t="shared" si="10"/>
        <v>W</v>
      </c>
      <c r="N20" s="188">
        <v>38</v>
      </c>
      <c r="O20" s="189" t="str">
        <f t="shared" si="11"/>
        <v>W</v>
      </c>
      <c r="P20" s="190"/>
      <c r="Q20" s="190" t="str">
        <f t="shared" si="12"/>
        <v>W</v>
      </c>
      <c r="R20" s="190"/>
      <c r="S20" s="191"/>
      <c r="T20" s="190"/>
      <c r="U20" s="191"/>
      <c r="V20" s="190"/>
      <c r="W20" s="190"/>
      <c r="X20" s="193"/>
      <c r="Y20" s="193"/>
      <c r="Z20" s="193">
        <v>44</v>
      </c>
      <c r="AA20" s="193" t="str">
        <f t="shared" si="13"/>
        <v>S</v>
      </c>
      <c r="AB20" s="193"/>
      <c r="AC20" s="193"/>
      <c r="AD20" s="194"/>
      <c r="AE20" s="195" t="str">
        <f t="shared" si="18"/>
        <v>W</v>
      </c>
      <c r="AF20" s="195"/>
      <c r="AG20" s="195"/>
      <c r="AH20" s="195"/>
      <c r="AI20" s="195"/>
      <c r="AJ20" s="197"/>
      <c r="AK20" s="197"/>
      <c r="AL20" s="205">
        <f t="shared" si="14"/>
        <v>82</v>
      </c>
      <c r="AM20" s="206">
        <f t="shared" si="15"/>
        <v>9.11111111111111</v>
      </c>
      <c r="AN20" s="205">
        <f t="shared" si="16"/>
        <v>16</v>
      </c>
      <c r="AO20" s="200">
        <f t="shared" si="0"/>
        <v>0</v>
      </c>
      <c r="AP20" s="200">
        <f t="shared" si="1"/>
        <v>0</v>
      </c>
      <c r="AQ20" s="200">
        <f t="shared" si="2"/>
        <v>0</v>
      </c>
      <c r="AR20" s="200">
        <f t="shared" si="3"/>
        <v>1</v>
      </c>
      <c r="AS20" s="201">
        <f t="shared" si="4"/>
        <v>8</v>
      </c>
      <c r="AT20" s="202">
        <f t="shared" si="5"/>
        <v>0</v>
      </c>
    </row>
    <row r="21" ht="16.9" customHeight="1" spans="1:46">
      <c r="A21" s="24">
        <v>14</v>
      </c>
      <c r="B21" s="183" t="s">
        <v>456</v>
      </c>
      <c r="C21" s="203" t="s">
        <v>443</v>
      </c>
      <c r="D21" s="185"/>
      <c r="E21" s="142" t="str">
        <f t="shared" si="6"/>
        <v>W</v>
      </c>
      <c r="F21" s="187"/>
      <c r="G21" s="188" t="str">
        <f t="shared" si="7"/>
        <v>W</v>
      </c>
      <c r="H21" s="187"/>
      <c r="I21" s="188" t="str">
        <f t="shared" si="8"/>
        <v>W</v>
      </c>
      <c r="J21" s="185"/>
      <c r="K21" s="188" t="str">
        <f t="shared" si="9"/>
        <v>W</v>
      </c>
      <c r="L21" s="185"/>
      <c r="M21" s="188" t="str">
        <f t="shared" si="10"/>
        <v>W</v>
      </c>
      <c r="N21" s="187">
        <v>33</v>
      </c>
      <c r="O21" s="189" t="str">
        <f t="shared" si="11"/>
        <v>W</v>
      </c>
      <c r="P21" s="190"/>
      <c r="Q21" s="190" t="str">
        <f t="shared" si="12"/>
        <v>W</v>
      </c>
      <c r="R21" s="190"/>
      <c r="S21" s="191"/>
      <c r="T21" s="190"/>
      <c r="U21" s="191"/>
      <c r="V21" s="190"/>
      <c r="W21" s="190"/>
      <c r="X21" s="193">
        <v>30</v>
      </c>
      <c r="Y21" s="193" t="s">
        <v>29</v>
      </c>
      <c r="Z21" s="193"/>
      <c r="AA21" s="193"/>
      <c r="AB21" s="193"/>
      <c r="AC21" s="193"/>
      <c r="AD21" s="194"/>
      <c r="AE21" s="195" t="str">
        <f t="shared" si="18"/>
        <v>W</v>
      </c>
      <c r="AF21" s="195"/>
      <c r="AG21" s="195"/>
      <c r="AH21" s="195"/>
      <c r="AI21" s="195"/>
      <c r="AJ21" s="197"/>
      <c r="AK21" s="197"/>
      <c r="AL21" s="205">
        <f t="shared" si="14"/>
        <v>63</v>
      </c>
      <c r="AM21" s="206">
        <f t="shared" si="15"/>
        <v>7</v>
      </c>
      <c r="AN21" s="205">
        <f t="shared" si="16"/>
        <v>21</v>
      </c>
      <c r="AO21" s="207">
        <f t="shared" si="0"/>
        <v>0</v>
      </c>
      <c r="AP21" s="207">
        <f t="shared" si="1"/>
        <v>0</v>
      </c>
      <c r="AQ21" s="207">
        <f t="shared" si="2"/>
        <v>0</v>
      </c>
      <c r="AR21" s="207">
        <f t="shared" si="3"/>
        <v>0</v>
      </c>
      <c r="AS21" s="208">
        <f t="shared" si="4"/>
        <v>8</v>
      </c>
      <c r="AT21" s="202">
        <f t="shared" si="5"/>
        <v>0.5</v>
      </c>
    </row>
    <row r="22" ht="16.9" customHeight="1" spans="1:46">
      <c r="A22" s="39">
        <v>15</v>
      </c>
      <c r="B22" s="183" t="s">
        <v>457</v>
      </c>
      <c r="C22" s="184" t="s">
        <v>443</v>
      </c>
      <c r="D22" s="185"/>
      <c r="E22" s="142" t="str">
        <f t="shared" si="6"/>
        <v>W</v>
      </c>
      <c r="F22" s="187"/>
      <c r="G22" s="188" t="str">
        <f t="shared" si="7"/>
        <v>W</v>
      </c>
      <c r="H22" s="187"/>
      <c r="I22" s="188" t="str">
        <f t="shared" si="8"/>
        <v>W</v>
      </c>
      <c r="J22" s="185"/>
      <c r="K22" s="188" t="str">
        <f t="shared" si="9"/>
        <v>W</v>
      </c>
      <c r="L22" s="188"/>
      <c r="M22" s="188" t="str">
        <f t="shared" si="10"/>
        <v>W</v>
      </c>
      <c r="N22" s="188">
        <v>27</v>
      </c>
      <c r="O22" s="189" t="str">
        <f t="shared" si="11"/>
        <v>W</v>
      </c>
      <c r="P22" s="190"/>
      <c r="Q22" s="190" t="str">
        <f t="shared" si="12"/>
        <v>W</v>
      </c>
      <c r="R22" s="190"/>
      <c r="S22" s="191"/>
      <c r="T22" s="190"/>
      <c r="U22" s="191"/>
      <c r="V22" s="190"/>
      <c r="W22" s="190"/>
      <c r="X22" s="193">
        <v>29</v>
      </c>
      <c r="Y22" s="193" t="str">
        <f t="shared" si="17"/>
        <v>W</v>
      </c>
      <c r="Z22" s="193"/>
      <c r="AA22" s="193"/>
      <c r="AB22" s="193"/>
      <c r="AC22" s="193"/>
      <c r="AD22" s="194"/>
      <c r="AE22" s="195"/>
      <c r="AF22" s="195"/>
      <c r="AG22" s="195"/>
      <c r="AH22" s="194">
        <v>26</v>
      </c>
      <c r="AI22" s="195" t="str">
        <f t="shared" ref="AI22:AI34" si="24">IF(AH22&gt;=75,"A",IF(AH22&gt;=65,"B",IF(AH22&gt;=50,"C",IF(AH22&gt;=36,"S","W"))))</f>
        <v>W</v>
      </c>
      <c r="AJ22" s="197"/>
      <c r="AK22" s="197"/>
      <c r="AL22" s="205">
        <f t="shared" si="14"/>
        <v>82</v>
      </c>
      <c r="AM22" s="206">
        <f t="shared" si="15"/>
        <v>9.11111111111111</v>
      </c>
      <c r="AN22" s="205">
        <f t="shared" si="16"/>
        <v>16</v>
      </c>
      <c r="AO22" s="200">
        <f t="shared" si="0"/>
        <v>0</v>
      </c>
      <c r="AP22" s="200">
        <f t="shared" si="1"/>
        <v>0</v>
      </c>
      <c r="AQ22" s="200">
        <f t="shared" si="2"/>
        <v>0</v>
      </c>
      <c r="AR22" s="200">
        <f t="shared" si="3"/>
        <v>0</v>
      </c>
      <c r="AS22" s="201">
        <f t="shared" si="4"/>
        <v>8</v>
      </c>
      <c r="AT22" s="202">
        <f t="shared" si="5"/>
        <v>0</v>
      </c>
    </row>
    <row r="23" ht="16.9" customHeight="1" spans="1:46">
      <c r="A23" s="24">
        <v>16</v>
      </c>
      <c r="B23" s="183" t="s">
        <v>458</v>
      </c>
      <c r="C23" s="184" t="s">
        <v>443</v>
      </c>
      <c r="D23" s="185"/>
      <c r="E23" s="142" t="str">
        <f t="shared" si="6"/>
        <v>W</v>
      </c>
      <c r="F23" s="187"/>
      <c r="G23" s="188" t="str">
        <f t="shared" si="7"/>
        <v>W</v>
      </c>
      <c r="H23" s="187"/>
      <c r="I23" s="188" t="str">
        <f t="shared" si="8"/>
        <v>W</v>
      </c>
      <c r="J23" s="185"/>
      <c r="K23" s="188" t="str">
        <f t="shared" si="9"/>
        <v>W</v>
      </c>
      <c r="L23" s="188"/>
      <c r="M23" s="188" t="str">
        <f t="shared" si="10"/>
        <v>W</v>
      </c>
      <c r="N23" s="188">
        <v>78</v>
      </c>
      <c r="O23" s="189" t="str">
        <f t="shared" si="11"/>
        <v>A</v>
      </c>
      <c r="P23" s="190"/>
      <c r="Q23" s="190" t="str">
        <f t="shared" si="12"/>
        <v>W</v>
      </c>
      <c r="R23" s="190"/>
      <c r="S23" s="191"/>
      <c r="T23" s="190">
        <v>83</v>
      </c>
      <c r="U23" s="191" t="str">
        <f t="shared" ref="U23:U30" si="25">IF(T23&gt;=75,"A",IF(T23&gt;=65,"B",IF(T23&gt;=50,"C",IF(T23&gt;=40,"S","W"))))</f>
        <v>A</v>
      </c>
      <c r="V23" s="190"/>
      <c r="W23" s="190"/>
      <c r="X23" s="193">
        <v>73</v>
      </c>
      <c r="Y23" s="193" t="str">
        <f t="shared" si="17"/>
        <v>B</v>
      </c>
      <c r="Z23" s="193"/>
      <c r="AA23" s="193"/>
      <c r="AB23" s="193"/>
      <c r="AC23" s="193"/>
      <c r="AD23" s="194"/>
      <c r="AE23" s="195"/>
      <c r="AF23" s="195"/>
      <c r="AG23" s="195"/>
      <c r="AH23" s="194">
        <v>84</v>
      </c>
      <c r="AI23" s="195" t="str">
        <f t="shared" si="24"/>
        <v>A</v>
      </c>
      <c r="AJ23" s="197"/>
      <c r="AK23" s="197"/>
      <c r="AL23" s="205">
        <f t="shared" si="14"/>
        <v>318</v>
      </c>
      <c r="AM23" s="206">
        <f t="shared" si="15"/>
        <v>35.3333333333333</v>
      </c>
      <c r="AN23" s="205">
        <f t="shared" si="16"/>
        <v>1</v>
      </c>
      <c r="AO23" s="200">
        <f t="shared" si="0"/>
        <v>2</v>
      </c>
      <c r="AP23" s="200">
        <f t="shared" si="1"/>
        <v>1</v>
      </c>
      <c r="AQ23" s="200">
        <f t="shared" si="2"/>
        <v>0</v>
      </c>
      <c r="AR23" s="200">
        <f t="shared" si="3"/>
        <v>0</v>
      </c>
      <c r="AS23" s="201">
        <f t="shared" si="4"/>
        <v>6</v>
      </c>
      <c r="AT23" s="202">
        <f t="shared" si="5"/>
        <v>0</v>
      </c>
    </row>
    <row r="24" ht="16.9" customHeight="1" spans="1:46">
      <c r="A24" s="39">
        <v>17</v>
      </c>
      <c r="B24" s="183" t="s">
        <v>459</v>
      </c>
      <c r="C24" s="203" t="s">
        <v>443</v>
      </c>
      <c r="D24" s="185"/>
      <c r="E24" s="142" t="str">
        <f t="shared" si="6"/>
        <v>W</v>
      </c>
      <c r="F24" s="187"/>
      <c r="G24" s="188" t="str">
        <f t="shared" si="7"/>
        <v>W</v>
      </c>
      <c r="H24" s="187"/>
      <c r="I24" s="188" t="str">
        <f t="shared" si="8"/>
        <v>W</v>
      </c>
      <c r="J24" s="185"/>
      <c r="K24" s="188" t="str">
        <f t="shared" si="9"/>
        <v>W</v>
      </c>
      <c r="L24" s="185"/>
      <c r="M24" s="188" t="str">
        <f t="shared" si="10"/>
        <v>W</v>
      </c>
      <c r="N24" s="187">
        <v>44</v>
      </c>
      <c r="O24" s="189" t="str">
        <f t="shared" si="11"/>
        <v>S</v>
      </c>
      <c r="P24" s="190"/>
      <c r="Q24" s="190" t="str">
        <f t="shared" si="12"/>
        <v>W</v>
      </c>
      <c r="R24" s="190"/>
      <c r="S24" s="191"/>
      <c r="T24" s="190"/>
      <c r="U24" s="191"/>
      <c r="V24" s="190"/>
      <c r="W24" s="190"/>
      <c r="X24" s="193"/>
      <c r="Y24" s="193"/>
      <c r="Z24" s="193">
        <v>67</v>
      </c>
      <c r="AA24" s="193" t="str">
        <f t="shared" si="13"/>
        <v>B</v>
      </c>
      <c r="AB24" s="193"/>
      <c r="AC24" s="193"/>
      <c r="AD24" s="194"/>
      <c r="AE24" s="195" t="str">
        <f t="shared" si="18"/>
        <v>W</v>
      </c>
      <c r="AF24" s="195"/>
      <c r="AG24" s="195"/>
      <c r="AH24" s="195"/>
      <c r="AI24" s="195"/>
      <c r="AJ24" s="197"/>
      <c r="AK24" s="197"/>
      <c r="AL24" s="198">
        <f t="shared" si="14"/>
        <v>111</v>
      </c>
      <c r="AM24" s="199">
        <f t="shared" si="15"/>
        <v>12.3333333333333</v>
      </c>
      <c r="AN24" s="198">
        <f t="shared" si="16"/>
        <v>9</v>
      </c>
      <c r="AO24" s="207">
        <f t="shared" si="0"/>
        <v>0</v>
      </c>
      <c r="AP24" s="207">
        <f t="shared" si="1"/>
        <v>1</v>
      </c>
      <c r="AQ24" s="207">
        <f t="shared" si="2"/>
        <v>0</v>
      </c>
      <c r="AR24" s="207">
        <f t="shared" si="3"/>
        <v>1</v>
      </c>
      <c r="AS24" s="208">
        <f t="shared" si="4"/>
        <v>7</v>
      </c>
      <c r="AT24" s="202">
        <f t="shared" si="5"/>
        <v>0</v>
      </c>
    </row>
    <row r="25" ht="16.9" customHeight="1" spans="1:46">
      <c r="A25" s="24">
        <v>18</v>
      </c>
      <c r="B25" s="183" t="s">
        <v>460</v>
      </c>
      <c r="C25" s="184" t="s">
        <v>443</v>
      </c>
      <c r="D25" s="185"/>
      <c r="E25" s="142" t="str">
        <f t="shared" si="6"/>
        <v>W</v>
      </c>
      <c r="F25" s="187"/>
      <c r="G25" s="188" t="str">
        <f t="shared" si="7"/>
        <v>W</v>
      </c>
      <c r="H25" s="187"/>
      <c r="I25" s="188" t="str">
        <f t="shared" si="8"/>
        <v>W</v>
      </c>
      <c r="J25" s="185"/>
      <c r="K25" s="188" t="str">
        <f t="shared" si="9"/>
        <v>W</v>
      </c>
      <c r="L25" s="188"/>
      <c r="M25" s="188" t="str">
        <f t="shared" si="10"/>
        <v>W</v>
      </c>
      <c r="N25" s="188">
        <v>74</v>
      </c>
      <c r="O25" s="189" t="str">
        <f t="shared" si="11"/>
        <v>B</v>
      </c>
      <c r="P25" s="190"/>
      <c r="Q25" s="190" t="str">
        <f t="shared" si="12"/>
        <v>W</v>
      </c>
      <c r="R25" s="190"/>
      <c r="S25" s="191"/>
      <c r="T25" s="190"/>
      <c r="U25" s="191"/>
      <c r="V25" s="190"/>
      <c r="W25" s="190"/>
      <c r="X25" s="193"/>
      <c r="Y25" s="193"/>
      <c r="Z25" s="193">
        <v>76</v>
      </c>
      <c r="AA25" s="193" t="str">
        <f t="shared" si="13"/>
        <v>A</v>
      </c>
      <c r="AB25" s="193"/>
      <c r="AC25" s="193"/>
      <c r="AD25" s="194"/>
      <c r="AE25" s="195" t="str">
        <f t="shared" si="18"/>
        <v>W</v>
      </c>
      <c r="AF25" s="195"/>
      <c r="AG25" s="195"/>
      <c r="AH25" s="194">
        <v>67</v>
      </c>
      <c r="AI25" s="195" t="str">
        <f t="shared" si="24"/>
        <v>B</v>
      </c>
      <c r="AJ25" s="197"/>
      <c r="AK25" s="197"/>
      <c r="AL25" s="198">
        <f t="shared" si="14"/>
        <v>217</v>
      </c>
      <c r="AM25" s="199">
        <f t="shared" si="15"/>
        <v>24.1111111111111</v>
      </c>
      <c r="AN25" s="198">
        <f t="shared" si="16"/>
        <v>3</v>
      </c>
      <c r="AO25" s="200">
        <f t="shared" si="0"/>
        <v>1</v>
      </c>
      <c r="AP25" s="200">
        <f t="shared" si="1"/>
        <v>2</v>
      </c>
      <c r="AQ25" s="200">
        <f t="shared" si="2"/>
        <v>0</v>
      </c>
      <c r="AR25" s="200">
        <f t="shared" si="3"/>
        <v>0</v>
      </c>
      <c r="AS25" s="201">
        <f t="shared" si="4"/>
        <v>7</v>
      </c>
      <c r="AT25" s="202">
        <f t="shared" si="5"/>
        <v>0</v>
      </c>
    </row>
    <row r="26" ht="16.9" customHeight="1" spans="1:46">
      <c r="A26" s="39">
        <v>19</v>
      </c>
      <c r="B26" s="183" t="s">
        <v>461</v>
      </c>
      <c r="C26" s="184" t="s">
        <v>443</v>
      </c>
      <c r="D26" s="185"/>
      <c r="E26" s="142" t="str">
        <f t="shared" si="6"/>
        <v>W</v>
      </c>
      <c r="F26" s="187"/>
      <c r="G26" s="188" t="str">
        <f t="shared" si="7"/>
        <v>W</v>
      </c>
      <c r="H26" s="187"/>
      <c r="I26" s="188" t="str">
        <f t="shared" si="8"/>
        <v>W</v>
      </c>
      <c r="J26" s="185"/>
      <c r="K26" s="188" t="str">
        <f t="shared" si="9"/>
        <v>W</v>
      </c>
      <c r="L26" s="185"/>
      <c r="M26" s="188" t="str">
        <f t="shared" si="10"/>
        <v>W</v>
      </c>
      <c r="N26" s="188">
        <v>22</v>
      </c>
      <c r="O26" s="189" t="str">
        <f t="shared" si="11"/>
        <v>W</v>
      </c>
      <c r="P26" s="190"/>
      <c r="Q26" s="190" t="str">
        <f t="shared" si="12"/>
        <v>W</v>
      </c>
      <c r="R26" s="190"/>
      <c r="S26" s="191"/>
      <c r="T26" s="190"/>
      <c r="U26" s="191"/>
      <c r="V26" s="190"/>
      <c r="W26" s="190"/>
      <c r="X26" s="193"/>
      <c r="Y26" s="193"/>
      <c r="Z26" s="193">
        <v>34</v>
      </c>
      <c r="AA26" s="193" t="str">
        <f t="shared" si="13"/>
        <v>W</v>
      </c>
      <c r="AB26" s="193"/>
      <c r="AC26" s="193"/>
      <c r="AD26" s="194"/>
      <c r="AE26" s="195"/>
      <c r="AF26" s="195"/>
      <c r="AG26" s="195"/>
      <c r="AH26" s="194"/>
      <c r="AI26" s="195"/>
      <c r="AJ26" s="197"/>
      <c r="AK26" s="197"/>
      <c r="AL26" s="198">
        <f t="shared" si="14"/>
        <v>56</v>
      </c>
      <c r="AM26" s="199">
        <f t="shared" si="15"/>
        <v>6.22222222222222</v>
      </c>
      <c r="AN26" s="198">
        <f t="shared" si="16"/>
        <v>23</v>
      </c>
      <c r="AO26" s="200">
        <f t="shared" si="0"/>
        <v>0</v>
      </c>
      <c r="AP26" s="200">
        <f t="shared" si="1"/>
        <v>0</v>
      </c>
      <c r="AQ26" s="200">
        <f t="shared" si="2"/>
        <v>0</v>
      </c>
      <c r="AR26" s="200">
        <f t="shared" si="3"/>
        <v>0</v>
      </c>
      <c r="AS26" s="201">
        <f t="shared" si="4"/>
        <v>8</v>
      </c>
      <c r="AT26" s="202">
        <f t="shared" si="5"/>
        <v>0</v>
      </c>
    </row>
    <row r="27" ht="16.9" customHeight="1" spans="1:46">
      <c r="A27" s="24">
        <v>20</v>
      </c>
      <c r="B27" s="183" t="s">
        <v>462</v>
      </c>
      <c r="C27" s="184" t="s">
        <v>443</v>
      </c>
      <c r="D27" s="185"/>
      <c r="E27" s="142" t="str">
        <f t="shared" si="6"/>
        <v>W</v>
      </c>
      <c r="F27" s="187"/>
      <c r="G27" s="188" t="str">
        <f t="shared" si="7"/>
        <v>W</v>
      </c>
      <c r="H27" s="187"/>
      <c r="I27" s="188" t="str">
        <f t="shared" si="8"/>
        <v>W</v>
      </c>
      <c r="J27" s="185"/>
      <c r="K27" s="188" t="str">
        <f t="shared" si="9"/>
        <v>W</v>
      </c>
      <c r="L27" s="188"/>
      <c r="M27" s="188" t="str">
        <f t="shared" si="10"/>
        <v>W</v>
      </c>
      <c r="N27" s="188" t="s">
        <v>29</v>
      </c>
      <c r="O27" s="188" t="s">
        <v>29</v>
      </c>
      <c r="P27" s="190"/>
      <c r="Q27" s="190" t="str">
        <f t="shared" si="12"/>
        <v>W</v>
      </c>
      <c r="R27" s="190"/>
      <c r="S27" s="191"/>
      <c r="T27" s="190"/>
      <c r="U27" s="191"/>
      <c r="V27" s="190"/>
      <c r="W27" s="190"/>
      <c r="X27" s="193"/>
      <c r="Y27" s="193"/>
      <c r="Z27" s="193"/>
      <c r="AA27" s="193"/>
      <c r="AB27" s="193">
        <v>36</v>
      </c>
      <c r="AC27" s="193" t="str">
        <f t="shared" si="20"/>
        <v>S</v>
      </c>
      <c r="AD27" s="194"/>
      <c r="AE27" s="195"/>
      <c r="AF27" s="195"/>
      <c r="AG27" s="195"/>
      <c r="AH27" s="194"/>
      <c r="AI27" s="195"/>
      <c r="AJ27" s="197">
        <v>58</v>
      </c>
      <c r="AK27" s="197" t="str">
        <f t="shared" ref="AK9:AK34" si="26">IF(AJ27&gt;=75,"A",IF(AJ27&gt;=65,"B",IF(AJ27&gt;=50,"C",IF(AJ27&gt;=40,"S","W"))))</f>
        <v>C</v>
      </c>
      <c r="AL27" s="198">
        <f t="shared" si="14"/>
        <v>94</v>
      </c>
      <c r="AM27" s="199">
        <f t="shared" si="15"/>
        <v>10.4444444444444</v>
      </c>
      <c r="AN27" s="198">
        <f t="shared" si="16"/>
        <v>14</v>
      </c>
      <c r="AO27" s="200">
        <f t="shared" si="0"/>
        <v>0</v>
      </c>
      <c r="AP27" s="200">
        <f t="shared" si="1"/>
        <v>0</v>
      </c>
      <c r="AQ27" s="200">
        <f t="shared" si="2"/>
        <v>1</v>
      </c>
      <c r="AR27" s="200">
        <f t="shared" si="3"/>
        <v>1</v>
      </c>
      <c r="AS27" s="201">
        <f t="shared" si="4"/>
        <v>6</v>
      </c>
      <c r="AT27" s="202">
        <f t="shared" si="5"/>
        <v>1</v>
      </c>
    </row>
    <row r="28" ht="16.9" customHeight="1" spans="1:46">
      <c r="A28" s="39">
        <v>21</v>
      </c>
      <c r="B28" s="183" t="s">
        <v>463</v>
      </c>
      <c r="C28" s="203" t="s">
        <v>443</v>
      </c>
      <c r="D28" s="185"/>
      <c r="E28" s="142" t="str">
        <f t="shared" si="6"/>
        <v>W</v>
      </c>
      <c r="F28" s="187"/>
      <c r="G28" s="188" t="str">
        <f t="shared" si="7"/>
        <v>W</v>
      </c>
      <c r="H28" s="187"/>
      <c r="I28" s="188" t="str">
        <f t="shared" si="8"/>
        <v>W</v>
      </c>
      <c r="J28" s="185"/>
      <c r="K28" s="188" t="str">
        <f t="shared" si="9"/>
        <v>W</v>
      </c>
      <c r="L28" s="187"/>
      <c r="M28" s="188" t="str">
        <f t="shared" si="10"/>
        <v>W</v>
      </c>
      <c r="N28" s="187">
        <v>82</v>
      </c>
      <c r="O28" s="189" t="str">
        <f t="shared" si="11"/>
        <v>A</v>
      </c>
      <c r="P28" s="190"/>
      <c r="Q28" s="190" t="str">
        <f t="shared" si="12"/>
        <v>W</v>
      </c>
      <c r="R28" s="190"/>
      <c r="S28" s="191"/>
      <c r="T28" s="190"/>
      <c r="U28" s="191"/>
      <c r="V28" s="190"/>
      <c r="W28" s="190"/>
      <c r="X28" s="193"/>
      <c r="Y28" s="193"/>
      <c r="Z28" s="193"/>
      <c r="AA28" s="193"/>
      <c r="AB28" s="193" t="s">
        <v>29</v>
      </c>
      <c r="AC28" s="193" t="s">
        <v>29</v>
      </c>
      <c r="AD28" s="194"/>
      <c r="AE28" s="195"/>
      <c r="AF28" s="195" t="s">
        <v>29</v>
      </c>
      <c r="AG28" s="195" t="s">
        <v>29</v>
      </c>
      <c r="AH28" s="194"/>
      <c r="AI28" s="195"/>
      <c r="AJ28" s="197"/>
      <c r="AK28" s="197"/>
      <c r="AL28" s="198">
        <f t="shared" si="14"/>
        <v>82</v>
      </c>
      <c r="AM28" s="199">
        <f t="shared" si="15"/>
        <v>9.11111111111111</v>
      </c>
      <c r="AN28" s="198">
        <f t="shared" si="16"/>
        <v>16</v>
      </c>
      <c r="AO28" s="207">
        <f t="shared" si="0"/>
        <v>1</v>
      </c>
      <c r="AP28" s="207">
        <f t="shared" si="1"/>
        <v>0</v>
      </c>
      <c r="AQ28" s="207">
        <f t="shared" si="2"/>
        <v>0</v>
      </c>
      <c r="AR28" s="207">
        <f t="shared" si="3"/>
        <v>0</v>
      </c>
      <c r="AS28" s="208">
        <f t="shared" si="4"/>
        <v>6</v>
      </c>
      <c r="AT28" s="202">
        <f t="shared" si="5"/>
        <v>2</v>
      </c>
    </row>
    <row r="29" ht="16.9" customHeight="1" spans="1:46">
      <c r="A29" s="24">
        <v>22</v>
      </c>
      <c r="B29" s="183" t="s">
        <v>464</v>
      </c>
      <c r="C29" s="184" t="s">
        <v>443</v>
      </c>
      <c r="D29" s="185"/>
      <c r="E29" s="142" t="str">
        <f t="shared" si="6"/>
        <v>W</v>
      </c>
      <c r="F29" s="187"/>
      <c r="G29" s="188" t="str">
        <f t="shared" si="7"/>
        <v>W</v>
      </c>
      <c r="H29" s="187"/>
      <c r="I29" s="188" t="str">
        <f t="shared" si="8"/>
        <v>W</v>
      </c>
      <c r="J29" s="185"/>
      <c r="K29" s="188" t="str">
        <f t="shared" si="9"/>
        <v>W</v>
      </c>
      <c r="L29" s="188"/>
      <c r="M29" s="188" t="str">
        <f t="shared" si="10"/>
        <v>W</v>
      </c>
      <c r="N29" s="188">
        <v>44</v>
      </c>
      <c r="O29" s="189" t="str">
        <f t="shared" si="11"/>
        <v>S</v>
      </c>
      <c r="P29" s="190"/>
      <c r="Q29" s="190" t="str">
        <f t="shared" si="12"/>
        <v>W</v>
      </c>
      <c r="R29" s="190"/>
      <c r="S29" s="191"/>
      <c r="T29" s="190"/>
      <c r="U29" s="191"/>
      <c r="V29" s="190"/>
      <c r="W29" s="190"/>
      <c r="X29" s="193"/>
      <c r="Y29" s="193"/>
      <c r="Z29" s="193">
        <v>56</v>
      </c>
      <c r="AA29" s="193" t="str">
        <f t="shared" si="13"/>
        <v>C</v>
      </c>
      <c r="AB29" s="193"/>
      <c r="AC29" s="193"/>
      <c r="AD29" s="194"/>
      <c r="AE29" s="195" t="str">
        <f t="shared" si="18"/>
        <v>W</v>
      </c>
      <c r="AF29" s="195"/>
      <c r="AG29" s="195"/>
      <c r="AH29" s="194"/>
      <c r="AI29" s="195"/>
      <c r="AJ29" s="197"/>
      <c r="AK29" s="197"/>
      <c r="AL29" s="198">
        <f t="shared" si="14"/>
        <v>100</v>
      </c>
      <c r="AM29" s="199">
        <f t="shared" si="15"/>
        <v>11.1111111111111</v>
      </c>
      <c r="AN29" s="198">
        <f t="shared" si="16"/>
        <v>12</v>
      </c>
      <c r="AO29" s="200">
        <f t="shared" si="0"/>
        <v>0</v>
      </c>
      <c r="AP29" s="200">
        <f t="shared" si="1"/>
        <v>0</v>
      </c>
      <c r="AQ29" s="200">
        <f t="shared" si="2"/>
        <v>1</v>
      </c>
      <c r="AR29" s="200">
        <f t="shared" si="3"/>
        <v>1</v>
      </c>
      <c r="AS29" s="201">
        <f t="shared" si="4"/>
        <v>7</v>
      </c>
      <c r="AT29" s="202">
        <f t="shared" si="5"/>
        <v>0</v>
      </c>
    </row>
    <row r="30" ht="16.9" customHeight="1" spans="1:46">
      <c r="A30" s="39">
        <v>23</v>
      </c>
      <c r="B30" s="183" t="s">
        <v>465</v>
      </c>
      <c r="C30" s="184" t="s">
        <v>443</v>
      </c>
      <c r="D30" s="185"/>
      <c r="E30" s="142" t="str">
        <f t="shared" si="6"/>
        <v>W</v>
      </c>
      <c r="F30" s="187"/>
      <c r="G30" s="188" t="str">
        <f t="shared" si="7"/>
        <v>W</v>
      </c>
      <c r="H30" s="187"/>
      <c r="I30" s="188" t="str">
        <f t="shared" si="8"/>
        <v>W</v>
      </c>
      <c r="J30" s="185"/>
      <c r="K30" s="188" t="str">
        <f t="shared" si="9"/>
        <v>W</v>
      </c>
      <c r="L30" s="188"/>
      <c r="M30" s="188" t="str">
        <f t="shared" si="10"/>
        <v>W</v>
      </c>
      <c r="N30" s="188">
        <v>75</v>
      </c>
      <c r="O30" s="189" t="str">
        <f t="shared" si="11"/>
        <v>A</v>
      </c>
      <c r="P30" s="190"/>
      <c r="Q30" s="190" t="str">
        <f t="shared" si="12"/>
        <v>W</v>
      </c>
      <c r="R30" s="190"/>
      <c r="S30" s="191"/>
      <c r="T30" s="190">
        <v>77</v>
      </c>
      <c r="U30" s="191" t="str">
        <f t="shared" si="25"/>
        <v>A</v>
      </c>
      <c r="V30" s="190"/>
      <c r="W30" s="190"/>
      <c r="X30" s="193"/>
      <c r="Y30" s="193"/>
      <c r="Z30" s="193">
        <v>76</v>
      </c>
      <c r="AA30" s="193" t="str">
        <f t="shared" si="13"/>
        <v>A</v>
      </c>
      <c r="AB30" s="193"/>
      <c r="AC30" s="193"/>
      <c r="AD30" s="194"/>
      <c r="AE30" s="195"/>
      <c r="AF30" s="195">
        <v>62</v>
      </c>
      <c r="AG30" s="195" t="str">
        <f t="shared" si="22"/>
        <v>C</v>
      </c>
      <c r="AH30" s="194"/>
      <c r="AI30" s="195"/>
      <c r="AJ30" s="197"/>
      <c r="AK30" s="197"/>
      <c r="AL30" s="198">
        <f t="shared" si="14"/>
        <v>290</v>
      </c>
      <c r="AM30" s="199">
        <f t="shared" si="15"/>
        <v>32.2222222222222</v>
      </c>
      <c r="AN30" s="198">
        <f t="shared" si="16"/>
        <v>2</v>
      </c>
      <c r="AO30" s="200">
        <f t="shared" si="0"/>
        <v>3</v>
      </c>
      <c r="AP30" s="200">
        <f t="shared" si="1"/>
        <v>0</v>
      </c>
      <c r="AQ30" s="200">
        <f t="shared" si="2"/>
        <v>1</v>
      </c>
      <c r="AR30" s="200">
        <f t="shared" si="3"/>
        <v>0</v>
      </c>
      <c r="AS30" s="201">
        <f t="shared" si="4"/>
        <v>6</v>
      </c>
      <c r="AT30" s="202">
        <f t="shared" si="5"/>
        <v>0</v>
      </c>
    </row>
    <row r="31" ht="16.9" customHeight="1" spans="1:46">
      <c r="A31" s="24">
        <v>24</v>
      </c>
      <c r="B31" s="183" t="s">
        <v>466</v>
      </c>
      <c r="C31" s="184" t="s">
        <v>443</v>
      </c>
      <c r="D31" s="185"/>
      <c r="E31" s="142" t="str">
        <f t="shared" si="6"/>
        <v>W</v>
      </c>
      <c r="F31" s="187"/>
      <c r="G31" s="188" t="str">
        <f t="shared" si="7"/>
        <v>W</v>
      </c>
      <c r="H31" s="187"/>
      <c r="I31" s="188" t="str">
        <f t="shared" si="8"/>
        <v>W</v>
      </c>
      <c r="J31" s="185"/>
      <c r="K31" s="188" t="str">
        <f t="shared" si="9"/>
        <v>W</v>
      </c>
      <c r="L31" s="188"/>
      <c r="M31" s="188" t="str">
        <f t="shared" si="10"/>
        <v>W</v>
      </c>
      <c r="N31" s="188">
        <v>38</v>
      </c>
      <c r="O31" s="189" t="str">
        <f t="shared" si="11"/>
        <v>W</v>
      </c>
      <c r="P31" s="190"/>
      <c r="Q31" s="190" t="str">
        <f t="shared" si="12"/>
        <v>W</v>
      </c>
      <c r="R31" s="190">
        <v>63</v>
      </c>
      <c r="S31" s="191" t="str">
        <f t="shared" si="23"/>
        <v>C</v>
      </c>
      <c r="T31" s="190"/>
      <c r="U31" s="191"/>
      <c r="V31" s="190"/>
      <c r="W31" s="190"/>
      <c r="X31" s="193"/>
      <c r="Y31" s="193"/>
      <c r="Z31" s="193"/>
      <c r="AA31" s="193"/>
      <c r="AB31" s="193">
        <v>51</v>
      </c>
      <c r="AC31" s="193" t="str">
        <f t="shared" si="20"/>
        <v>C</v>
      </c>
      <c r="AD31" s="194"/>
      <c r="AE31" s="195"/>
      <c r="AF31" s="195"/>
      <c r="AG31" s="195"/>
      <c r="AH31" s="194">
        <v>35</v>
      </c>
      <c r="AI31" s="195" t="str">
        <f t="shared" si="24"/>
        <v>W</v>
      </c>
      <c r="AJ31" s="197"/>
      <c r="AK31" s="197"/>
      <c r="AL31" s="198">
        <f t="shared" si="14"/>
        <v>187</v>
      </c>
      <c r="AM31" s="199">
        <f t="shared" si="15"/>
        <v>20.7777777777778</v>
      </c>
      <c r="AN31" s="198">
        <f t="shared" si="16"/>
        <v>5</v>
      </c>
      <c r="AO31" s="200">
        <f t="shared" si="0"/>
        <v>0</v>
      </c>
      <c r="AP31" s="200">
        <f t="shared" si="1"/>
        <v>0</v>
      </c>
      <c r="AQ31" s="200">
        <f t="shared" si="2"/>
        <v>2</v>
      </c>
      <c r="AR31" s="200">
        <f t="shared" si="3"/>
        <v>0</v>
      </c>
      <c r="AS31" s="201">
        <f t="shared" si="4"/>
        <v>7</v>
      </c>
      <c r="AT31" s="202">
        <f t="shared" si="5"/>
        <v>0</v>
      </c>
    </row>
    <row r="32" ht="16.9" customHeight="1" spans="1:46">
      <c r="A32" s="39">
        <v>25</v>
      </c>
      <c r="B32" s="183" t="s">
        <v>467</v>
      </c>
      <c r="C32" s="184" t="s">
        <v>443</v>
      </c>
      <c r="D32" s="185"/>
      <c r="E32" s="142" t="str">
        <f t="shared" si="6"/>
        <v>W</v>
      </c>
      <c r="F32" s="187"/>
      <c r="G32" s="188" t="str">
        <f t="shared" si="7"/>
        <v>W</v>
      </c>
      <c r="H32" s="187"/>
      <c r="I32" s="188" t="str">
        <f t="shared" si="8"/>
        <v>W</v>
      </c>
      <c r="J32" s="185"/>
      <c r="K32" s="188" t="str">
        <f t="shared" si="9"/>
        <v>W</v>
      </c>
      <c r="L32" s="188"/>
      <c r="M32" s="188" t="str">
        <f t="shared" si="10"/>
        <v>W</v>
      </c>
      <c r="N32" s="188">
        <v>20</v>
      </c>
      <c r="O32" s="189" t="str">
        <f t="shared" si="11"/>
        <v>W</v>
      </c>
      <c r="P32" s="190"/>
      <c r="Q32" s="190" t="str">
        <f t="shared" si="12"/>
        <v>W</v>
      </c>
      <c r="R32" s="190">
        <v>34</v>
      </c>
      <c r="S32" s="191" t="str">
        <f t="shared" si="23"/>
        <v>W</v>
      </c>
      <c r="T32" s="190"/>
      <c r="U32" s="191"/>
      <c r="V32" s="190"/>
      <c r="W32" s="190"/>
      <c r="X32" s="193"/>
      <c r="Y32" s="193"/>
      <c r="Z32" s="193">
        <v>38</v>
      </c>
      <c r="AA32" s="193" t="str">
        <f t="shared" si="13"/>
        <v>S</v>
      </c>
      <c r="AB32" s="193"/>
      <c r="AC32" s="193"/>
      <c r="AD32" s="194"/>
      <c r="AE32" s="195" t="str">
        <f t="shared" si="18"/>
        <v>W</v>
      </c>
      <c r="AF32" s="195"/>
      <c r="AG32" s="195"/>
      <c r="AH32" s="195"/>
      <c r="AI32" s="195"/>
      <c r="AJ32" s="197"/>
      <c r="AK32" s="197"/>
      <c r="AL32" s="198">
        <f t="shared" si="14"/>
        <v>92</v>
      </c>
      <c r="AM32" s="199">
        <f t="shared" si="15"/>
        <v>10.2222222222222</v>
      </c>
      <c r="AN32" s="198">
        <f t="shared" si="16"/>
        <v>15</v>
      </c>
      <c r="AO32" s="200">
        <f t="shared" si="0"/>
        <v>0</v>
      </c>
      <c r="AP32" s="200">
        <f t="shared" si="1"/>
        <v>0</v>
      </c>
      <c r="AQ32" s="200">
        <f t="shared" si="2"/>
        <v>0</v>
      </c>
      <c r="AR32" s="200">
        <f t="shared" si="3"/>
        <v>1</v>
      </c>
      <c r="AS32" s="201">
        <f t="shared" si="4"/>
        <v>9</v>
      </c>
      <c r="AT32" s="202">
        <f t="shared" si="5"/>
        <v>0</v>
      </c>
    </row>
    <row r="33" ht="16.9" customHeight="1" spans="1:46">
      <c r="A33" s="24">
        <v>26</v>
      </c>
      <c r="B33" s="183" t="s">
        <v>468</v>
      </c>
      <c r="C33" s="184" t="s">
        <v>443</v>
      </c>
      <c r="D33" s="185"/>
      <c r="E33" s="142" t="str">
        <f t="shared" si="6"/>
        <v>W</v>
      </c>
      <c r="F33" s="187"/>
      <c r="G33" s="188" t="str">
        <f t="shared" si="7"/>
        <v>W</v>
      </c>
      <c r="H33" s="187"/>
      <c r="I33" s="188" t="str">
        <f t="shared" si="8"/>
        <v>W</v>
      </c>
      <c r="J33" s="185"/>
      <c r="K33" s="188" t="str">
        <f t="shared" si="9"/>
        <v>W</v>
      </c>
      <c r="L33" s="185"/>
      <c r="M33" s="188" t="str">
        <f t="shared" si="10"/>
        <v>W</v>
      </c>
      <c r="N33" s="188">
        <v>21</v>
      </c>
      <c r="O33" s="189" t="str">
        <f t="shared" si="11"/>
        <v>W</v>
      </c>
      <c r="P33" s="190"/>
      <c r="Q33" s="190" t="str">
        <f t="shared" si="12"/>
        <v>W</v>
      </c>
      <c r="R33" s="190"/>
      <c r="S33" s="191"/>
      <c r="T33" s="190"/>
      <c r="U33" s="191"/>
      <c r="V33" s="190"/>
      <c r="W33" s="190"/>
      <c r="X33" s="193"/>
      <c r="Y33" s="193"/>
      <c r="Z33" s="193"/>
      <c r="AA33" s="193"/>
      <c r="AB33" s="193"/>
      <c r="AC33" s="193"/>
      <c r="AD33" s="194"/>
      <c r="AE33" s="195"/>
      <c r="AF33" s="195"/>
      <c r="AG33" s="195"/>
      <c r="AH33" s="194"/>
      <c r="AI33" s="195"/>
      <c r="AJ33" s="197"/>
      <c r="AK33" s="197"/>
      <c r="AL33" s="198">
        <f t="shared" si="14"/>
        <v>21</v>
      </c>
      <c r="AM33" s="199">
        <f t="shared" si="15"/>
        <v>2.33333333333333</v>
      </c>
      <c r="AN33" s="198">
        <f t="shared" si="16"/>
        <v>27</v>
      </c>
      <c r="AO33" s="200">
        <f t="shared" si="0"/>
        <v>0</v>
      </c>
      <c r="AP33" s="200">
        <f t="shared" si="1"/>
        <v>0</v>
      </c>
      <c r="AQ33" s="200">
        <f t="shared" si="2"/>
        <v>0</v>
      </c>
      <c r="AR33" s="200">
        <f t="shared" si="3"/>
        <v>0</v>
      </c>
      <c r="AS33" s="201">
        <f t="shared" si="4"/>
        <v>7</v>
      </c>
      <c r="AT33" s="202">
        <f t="shared" si="5"/>
        <v>0</v>
      </c>
    </row>
    <row r="34" ht="16.9" customHeight="1" spans="1:46">
      <c r="A34" s="39">
        <v>27</v>
      </c>
      <c r="B34" s="183" t="s">
        <v>469</v>
      </c>
      <c r="C34" s="184" t="s">
        <v>443</v>
      </c>
      <c r="D34" s="185"/>
      <c r="E34" s="186" t="str">
        <f t="shared" si="6"/>
        <v>W</v>
      </c>
      <c r="F34" s="187"/>
      <c r="G34" s="188" t="str">
        <f t="shared" si="7"/>
        <v>W</v>
      </c>
      <c r="H34" s="187"/>
      <c r="I34" s="188" t="str">
        <f t="shared" si="8"/>
        <v>W</v>
      </c>
      <c r="J34" s="185"/>
      <c r="K34" s="188" t="str">
        <f t="shared" si="9"/>
        <v>W</v>
      </c>
      <c r="L34" s="188"/>
      <c r="M34" s="188" t="str">
        <f t="shared" si="10"/>
        <v>W</v>
      </c>
      <c r="N34" s="188">
        <v>43</v>
      </c>
      <c r="O34" s="189" t="str">
        <f t="shared" si="11"/>
        <v>S</v>
      </c>
      <c r="P34" s="190"/>
      <c r="Q34" s="190" t="str">
        <f t="shared" si="12"/>
        <v>W</v>
      </c>
      <c r="R34" s="190">
        <v>64</v>
      </c>
      <c r="S34" s="191" t="str">
        <f t="shared" si="23"/>
        <v>C</v>
      </c>
      <c r="T34" s="190"/>
      <c r="U34" s="191"/>
      <c r="V34" s="190"/>
      <c r="W34" s="190"/>
      <c r="X34" s="193"/>
      <c r="Y34" s="193"/>
      <c r="Z34" s="193"/>
      <c r="AA34" s="193"/>
      <c r="AB34" s="193">
        <v>35</v>
      </c>
      <c r="AC34" s="193" t="str">
        <f t="shared" si="20"/>
        <v>W</v>
      </c>
      <c r="AD34" s="194"/>
      <c r="AE34" s="195"/>
      <c r="AF34" s="195"/>
      <c r="AG34" s="195"/>
      <c r="AH34" s="194">
        <v>55</v>
      </c>
      <c r="AI34" s="195" t="str">
        <f t="shared" si="24"/>
        <v>C</v>
      </c>
      <c r="AJ34" s="197"/>
      <c r="AK34" s="197"/>
      <c r="AL34" s="198">
        <f t="shared" si="14"/>
        <v>197</v>
      </c>
      <c r="AM34" s="199">
        <f t="shared" si="15"/>
        <v>21.8888888888889</v>
      </c>
      <c r="AN34" s="198">
        <f t="shared" si="16"/>
        <v>4</v>
      </c>
      <c r="AO34" s="200">
        <f t="shared" si="0"/>
        <v>0</v>
      </c>
      <c r="AP34" s="200">
        <f t="shared" si="1"/>
        <v>0</v>
      </c>
      <c r="AQ34" s="200">
        <f t="shared" si="2"/>
        <v>2</v>
      </c>
      <c r="AR34" s="200">
        <f t="shared" si="3"/>
        <v>1</v>
      </c>
      <c r="AS34" s="201">
        <f t="shared" si="4"/>
        <v>7</v>
      </c>
      <c r="AT34" s="202">
        <f t="shared" si="5"/>
        <v>0</v>
      </c>
    </row>
    <row r="35" ht="16.9" customHeight="1" spans="1:46">
      <c r="A35" s="53" t="s">
        <v>470</v>
      </c>
      <c r="B35" s="54"/>
      <c r="C35" s="55"/>
      <c r="D35" s="209"/>
      <c r="E35" s="210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11"/>
      <c r="AI35" s="211"/>
      <c r="AJ35" s="211"/>
      <c r="AK35" s="211"/>
      <c r="AL35" s="211"/>
      <c r="AM35" s="211"/>
      <c r="AN35" s="211"/>
      <c r="AO35" s="212"/>
      <c r="AP35" s="212"/>
      <c r="AQ35" s="212"/>
      <c r="AR35" s="212"/>
      <c r="AS35" s="213"/>
      <c r="AT35" s="214"/>
    </row>
    <row r="36" ht="16.9" customHeight="1" spans="1:46">
      <c r="A36" s="215" t="s">
        <v>63</v>
      </c>
      <c r="B36" s="216"/>
      <c r="C36" s="217" t="s">
        <v>24</v>
      </c>
      <c r="D36" s="209"/>
      <c r="E36" s="218">
        <f>COUNTIF(E8:E34,"A")</f>
        <v>0</v>
      </c>
      <c r="F36" s="209"/>
      <c r="G36" s="219">
        <f>COUNTIF(G8:G34,"A")</f>
        <v>0</v>
      </c>
      <c r="H36" s="209"/>
      <c r="I36" s="219">
        <f>COUNTIF(I8:I34,"A")</f>
        <v>0</v>
      </c>
      <c r="J36" s="209"/>
      <c r="K36" s="219">
        <f>COUNTIF(K8:K34,"A")</f>
        <v>0</v>
      </c>
      <c r="L36" s="219"/>
      <c r="M36" s="219">
        <f>COUNTIF(M8:M34,"A")</f>
        <v>0</v>
      </c>
      <c r="N36" s="219"/>
      <c r="O36" s="219">
        <f>COUNTIF(O8:O34,"A")</f>
        <v>3</v>
      </c>
      <c r="P36" s="219"/>
      <c r="Q36" s="219">
        <f>COUNTIF(Q8:Q34,"A")</f>
        <v>0</v>
      </c>
      <c r="R36" s="219"/>
      <c r="S36" s="209">
        <f>COUNTIF(S8:S34,"A")</f>
        <v>0</v>
      </c>
      <c r="T36" s="209"/>
      <c r="U36" s="209">
        <f>COUNTIF($U$8:$U$34,"B")</f>
        <v>0</v>
      </c>
      <c r="V36" s="209"/>
      <c r="W36" s="219">
        <f>COUNTIF(W8:W34,"A")</f>
        <v>0</v>
      </c>
      <c r="X36" s="209"/>
      <c r="Y36" s="219">
        <f>COUNTIF(Y8:Y34,"A")</f>
        <v>0</v>
      </c>
      <c r="Z36" s="209"/>
      <c r="AA36" s="219">
        <f>COUNTIF(AA8:AA34,"A")</f>
        <v>2</v>
      </c>
      <c r="AB36" s="209"/>
      <c r="AC36" s="219">
        <f>COUNTIF(AC8:AC34,"A")</f>
        <v>0</v>
      </c>
      <c r="AD36" s="209"/>
      <c r="AE36" s="219">
        <f>COUNTIF(AE8:AE34,"A")</f>
        <v>0</v>
      </c>
      <c r="AF36" s="209"/>
      <c r="AG36" s="219">
        <f>COUNTIF(AG8:AG34,"A")</f>
        <v>0</v>
      </c>
      <c r="AH36" s="219"/>
      <c r="AI36" s="219">
        <f>COUNTIF(AI8:AI34,"A")</f>
        <v>1</v>
      </c>
      <c r="AJ36" s="219"/>
      <c r="AK36" s="219">
        <f>COUNTIF(AK8:AK34,"A")</f>
        <v>0</v>
      </c>
      <c r="AL36" s="220"/>
      <c r="AM36" s="220"/>
      <c r="AN36" s="220"/>
      <c r="AO36" s="212"/>
      <c r="AP36" s="212"/>
      <c r="AQ36" s="212"/>
      <c r="AR36" s="212"/>
      <c r="AS36" s="213"/>
      <c r="AT36" s="214"/>
    </row>
    <row r="37" ht="16.9" customHeight="1" spans="1:46">
      <c r="A37" s="215" t="s">
        <v>64</v>
      </c>
      <c r="B37" s="216"/>
      <c r="C37" s="221" t="s">
        <v>25</v>
      </c>
      <c r="D37" s="209"/>
      <c r="E37" s="218">
        <f>COUNTIF(E8:E34,"B")</f>
        <v>0</v>
      </c>
      <c r="F37" s="209"/>
      <c r="G37" s="219">
        <f>COUNTIF(G8:G34,"B")</f>
        <v>0</v>
      </c>
      <c r="H37" s="209"/>
      <c r="I37" s="219">
        <f>COUNTIF(I8:I34,"B")</f>
        <v>0</v>
      </c>
      <c r="J37" s="209"/>
      <c r="K37" s="219">
        <f>COUNTIF(K8:K34,"B")</f>
        <v>0</v>
      </c>
      <c r="L37" s="209"/>
      <c r="M37" s="219">
        <f>COUNTIF(M8:M34,"B")</f>
        <v>0</v>
      </c>
      <c r="N37" s="209"/>
      <c r="O37" s="219">
        <f>COUNTIF(O8:O34,"B")</f>
        <v>1</v>
      </c>
      <c r="P37" s="209"/>
      <c r="Q37" s="219">
        <f>COUNTIF(Q8:Q34,"B")</f>
        <v>0</v>
      </c>
      <c r="R37" s="219"/>
      <c r="S37" s="209">
        <f>COUNTIF(S9:S35,"B")</f>
        <v>0</v>
      </c>
      <c r="T37" s="209"/>
      <c r="U37" s="209">
        <f t="shared" ref="U37" si="27">COUNTIF($U$8:$U$34,"A")</f>
        <v>2</v>
      </c>
      <c r="V37" s="209"/>
      <c r="W37" s="219">
        <f>COUNTIF(W8:W34,"B")</f>
        <v>0</v>
      </c>
      <c r="X37" s="209"/>
      <c r="Y37" s="219">
        <f>COUNTIF(Y8:Y34,"B")</f>
        <v>1</v>
      </c>
      <c r="Z37" s="209"/>
      <c r="AA37" s="219">
        <f>COUNTIF(AA8:AA34,"B")</f>
        <v>3</v>
      </c>
      <c r="AB37" s="209"/>
      <c r="AC37" s="219">
        <f>COUNTIF(AC8:AC34,"B")</f>
        <v>1</v>
      </c>
      <c r="AD37" s="209"/>
      <c r="AE37" s="219">
        <f>COUNTIF(AE8:AE34,"B")</f>
        <v>0</v>
      </c>
      <c r="AF37" s="209"/>
      <c r="AG37" s="219">
        <f>COUNTIF(AG8:AG34,"B")</f>
        <v>0</v>
      </c>
      <c r="AH37" s="219"/>
      <c r="AI37" s="219">
        <f>COUNTIF(AI9:AI35,"B")</f>
        <v>1</v>
      </c>
      <c r="AJ37" s="219"/>
      <c r="AK37" s="219">
        <f>COUNTIF(AK9:AK35,"B")</f>
        <v>0</v>
      </c>
      <c r="AL37" s="220"/>
      <c r="AM37" s="220"/>
      <c r="AN37" s="220"/>
      <c r="AO37" s="212"/>
      <c r="AP37" s="212"/>
      <c r="AQ37" s="212"/>
      <c r="AR37" s="212"/>
      <c r="AS37" s="212"/>
      <c r="AT37" s="222"/>
    </row>
    <row r="38" ht="16.9" customHeight="1" spans="1:46">
      <c r="A38" s="215" t="s">
        <v>65</v>
      </c>
      <c r="B38" s="216"/>
      <c r="C38" s="221" t="s">
        <v>26</v>
      </c>
      <c r="D38" s="209"/>
      <c r="E38" s="218">
        <f>COUNTIF(E8:E34,"C")</f>
        <v>0</v>
      </c>
      <c r="F38" s="209"/>
      <c r="G38" s="219">
        <f>COUNTIF(G8:G34,"C")</f>
        <v>0</v>
      </c>
      <c r="H38" s="209"/>
      <c r="I38" s="219">
        <f>COUNTIF(I8:I34,"C")</f>
        <v>0</v>
      </c>
      <c r="J38" s="209"/>
      <c r="K38" s="219">
        <f>COUNTIF(K8:K34,"C")</f>
        <v>0</v>
      </c>
      <c r="L38" s="209"/>
      <c r="M38" s="219">
        <f>COUNTIF(M8:M34,"C")</f>
        <v>0</v>
      </c>
      <c r="N38" s="209"/>
      <c r="O38" s="219">
        <f>COUNTIF(O8:O34,"C")</f>
        <v>3</v>
      </c>
      <c r="P38" s="209"/>
      <c r="Q38" s="219">
        <f>COUNTIF(Q8:Q34,"C")</f>
        <v>0</v>
      </c>
      <c r="R38" s="219"/>
      <c r="S38" s="209">
        <f>COUNTIF(S10:S36,"C")</f>
        <v>2</v>
      </c>
      <c r="T38" s="209"/>
      <c r="U38" s="209">
        <f>COUNTIF($U$8:$U$34,"C")</f>
        <v>0</v>
      </c>
      <c r="V38" s="209"/>
      <c r="W38" s="219">
        <f>COUNTIF(W8:W34,"C")</f>
        <v>1</v>
      </c>
      <c r="X38" s="209"/>
      <c r="Y38" s="219">
        <f>COUNTIF(Y8:Y34,"C")</f>
        <v>1</v>
      </c>
      <c r="Z38" s="209"/>
      <c r="AA38" s="219">
        <f>COUNTIF(AA8:AA34,"C")</f>
        <v>1</v>
      </c>
      <c r="AB38" s="209"/>
      <c r="AC38" s="219">
        <f>COUNTIF(AC8:AC34,"C")</f>
        <v>1</v>
      </c>
      <c r="AD38" s="209"/>
      <c r="AE38" s="219">
        <f>COUNTIF(AE8:AE34,"C")</f>
        <v>0</v>
      </c>
      <c r="AF38" s="209"/>
      <c r="AG38" s="219">
        <f>COUNTIF(AG8:AG34,"C")</f>
        <v>1</v>
      </c>
      <c r="AH38" s="219"/>
      <c r="AI38" s="219">
        <f>COUNTIF(AI10:AI36,"C")</f>
        <v>1</v>
      </c>
      <c r="AJ38" s="219"/>
      <c r="AK38" s="219">
        <f>COUNTIF(AK10:AK36,"C")</f>
        <v>1</v>
      </c>
      <c r="AL38" s="220"/>
      <c r="AM38" s="220"/>
      <c r="AN38" s="220"/>
      <c r="AO38" s="212"/>
      <c r="AP38" s="212"/>
      <c r="AQ38" s="212"/>
      <c r="AR38" s="212"/>
      <c r="AS38" s="212"/>
      <c r="AT38" s="222"/>
    </row>
    <row r="39" ht="16.9" customHeight="1" spans="1:46">
      <c r="A39" s="215" t="s">
        <v>66</v>
      </c>
      <c r="B39" s="216"/>
      <c r="C39" s="221" t="s">
        <v>27</v>
      </c>
      <c r="D39" s="209"/>
      <c r="E39" s="218">
        <f>COUNTIF(E8:E34,"S")</f>
        <v>0</v>
      </c>
      <c r="F39" s="209"/>
      <c r="G39" s="219">
        <f>COUNTIF(G8:G34,"S")</f>
        <v>0</v>
      </c>
      <c r="H39" s="209"/>
      <c r="I39" s="219">
        <f>COUNTIF(I8:I34,"S")</f>
        <v>0</v>
      </c>
      <c r="J39" s="209"/>
      <c r="K39" s="219">
        <f>COUNTIF(K8:K34,"S")</f>
        <v>0</v>
      </c>
      <c r="L39" s="209"/>
      <c r="M39" s="219">
        <f>COUNTIF(M8:M34,"S")</f>
        <v>0</v>
      </c>
      <c r="N39" s="209"/>
      <c r="O39" s="219">
        <f>COUNTIF(O8:O34,"S")</f>
        <v>4</v>
      </c>
      <c r="P39" s="209"/>
      <c r="Q39" s="219">
        <f>COUNTIF(Q8:Q34,"S")</f>
        <v>0</v>
      </c>
      <c r="R39" s="219"/>
      <c r="S39" s="209">
        <f>COUNTIF(S11:S37,"S")</f>
        <v>0</v>
      </c>
      <c r="T39" s="209"/>
      <c r="U39" s="209">
        <f>COUNTIF($U$8:$U$34,"S")</f>
        <v>0</v>
      </c>
      <c r="V39" s="209"/>
      <c r="W39" s="219">
        <f>COUNTIF(W8:W34,"S")</f>
        <v>0</v>
      </c>
      <c r="X39" s="209"/>
      <c r="Y39" s="219">
        <f>COUNTIF(Y8:Y34,"S")</f>
        <v>1</v>
      </c>
      <c r="Z39" s="209"/>
      <c r="AA39" s="219">
        <f>COUNTIF(AA8:AA34,"S")</f>
        <v>4</v>
      </c>
      <c r="AB39" s="209"/>
      <c r="AC39" s="219">
        <f>COUNTIF(AC8:AC34,"S")</f>
        <v>1</v>
      </c>
      <c r="AD39" s="209"/>
      <c r="AE39" s="219">
        <f>COUNTIF(AE8:AE34,"S")</f>
        <v>0</v>
      </c>
      <c r="AF39" s="209"/>
      <c r="AG39" s="219">
        <f>COUNTIF(AG8:AG34,"S")</f>
        <v>1</v>
      </c>
      <c r="AH39" s="219"/>
      <c r="AI39" s="219">
        <f>COUNTIF(AI11:AI37,"S")</f>
        <v>0</v>
      </c>
      <c r="AJ39" s="219"/>
      <c r="AK39" s="219">
        <f>COUNTIF(AK11:AK37,"S")</f>
        <v>0</v>
      </c>
      <c r="AL39" s="220"/>
      <c r="AM39" s="220"/>
      <c r="AN39" s="220"/>
      <c r="AO39" s="212"/>
      <c r="AP39" s="212"/>
      <c r="AQ39" s="212"/>
      <c r="AR39" s="212"/>
      <c r="AS39" s="212"/>
      <c r="AT39" s="222"/>
    </row>
    <row r="40" ht="16.9" customHeight="1" spans="1:46">
      <c r="A40" s="215" t="s">
        <v>67</v>
      </c>
      <c r="B40" s="216"/>
      <c r="C40" s="221" t="s">
        <v>28</v>
      </c>
      <c r="D40" s="209"/>
      <c r="E40" s="218">
        <f>COUNTIF(E8:E34,"W")</f>
        <v>27</v>
      </c>
      <c r="F40" s="209"/>
      <c r="G40" s="219">
        <f>COUNTIF(G8:G34,"W")</f>
        <v>27</v>
      </c>
      <c r="H40" s="209"/>
      <c r="I40" s="219">
        <f>COUNTIF(I8:I34,"W")</f>
        <v>27</v>
      </c>
      <c r="J40" s="209"/>
      <c r="K40" s="219">
        <f>COUNTIF(K8:K34,"W")</f>
        <v>27</v>
      </c>
      <c r="L40" s="209"/>
      <c r="M40" s="219">
        <f>COUNTIF(M8:M34,"W")</f>
        <v>27</v>
      </c>
      <c r="N40" s="209"/>
      <c r="O40" s="219">
        <f>COUNTIF(O8:O34,"W")</f>
        <v>15</v>
      </c>
      <c r="P40" s="209"/>
      <c r="Q40" s="219">
        <f>COUNTIF(Q8:Q34,"W")</f>
        <v>27</v>
      </c>
      <c r="R40" s="219"/>
      <c r="S40" s="209">
        <f>COUNTIF(S12:S38,"W")</f>
        <v>2</v>
      </c>
      <c r="T40" s="209"/>
      <c r="U40" s="209">
        <f>COUNTIF($U$8:$U$34,"W")</f>
        <v>0</v>
      </c>
      <c r="V40" s="209"/>
      <c r="W40" s="219">
        <f>COUNTIF(W8:W34,"W")</f>
        <v>0</v>
      </c>
      <c r="X40" s="209"/>
      <c r="Y40" s="219">
        <f>COUNTIF(Y8:Y34,"W")</f>
        <v>3</v>
      </c>
      <c r="Z40" s="209"/>
      <c r="AA40" s="219">
        <f>COUNTIF(AA8:AA34,"W")</f>
        <v>1</v>
      </c>
      <c r="AB40" s="209"/>
      <c r="AC40" s="219">
        <f>COUNTIF(AC8:AC34,"W")</f>
        <v>2</v>
      </c>
      <c r="AD40" s="209"/>
      <c r="AE40" s="219">
        <f>COUNTIF(AE8:AE34,"W")</f>
        <v>15</v>
      </c>
      <c r="AF40" s="209"/>
      <c r="AG40" s="219">
        <f>COUNTIF(AG8:AG34,"W")</f>
        <v>0</v>
      </c>
      <c r="AH40" s="219"/>
      <c r="AI40" s="219">
        <f>COUNTIF(AI12:AI38,"W")</f>
        <v>2</v>
      </c>
      <c r="AJ40" s="219"/>
      <c r="AK40" s="219">
        <f>COUNTIF(AK12:AK38,"W")</f>
        <v>0</v>
      </c>
      <c r="AL40" s="220"/>
      <c r="AM40" s="220"/>
      <c r="AN40" s="220"/>
      <c r="AO40" s="212"/>
      <c r="AP40" s="212"/>
      <c r="AQ40" s="212"/>
      <c r="AR40" s="212"/>
      <c r="AS40" s="212"/>
      <c r="AT40" s="222"/>
    </row>
    <row r="41" ht="16.9" customHeight="1" spans="1:46">
      <c r="A41" s="215"/>
      <c r="B41" s="216"/>
      <c r="C41" s="221" t="s">
        <v>29</v>
      </c>
      <c r="D41" s="209"/>
      <c r="E41" s="218">
        <f>COUNTIF(E8:E34,"AB")</f>
        <v>0</v>
      </c>
      <c r="F41" s="209"/>
      <c r="G41" s="219">
        <f>COUNTIF(G8:G34,"AB")</f>
        <v>0</v>
      </c>
      <c r="H41" s="209"/>
      <c r="I41" s="219">
        <f>COUNTIF(I8:I34,"AB")</f>
        <v>0</v>
      </c>
      <c r="J41" s="209"/>
      <c r="K41" s="219">
        <f>COUNTIF(K8:K34,"AB")</f>
        <v>0</v>
      </c>
      <c r="L41" s="209"/>
      <c r="M41" s="219">
        <f>COUNTIF(M8:M34,"AB")</f>
        <v>0</v>
      </c>
      <c r="N41" s="209"/>
      <c r="O41" s="219">
        <f>COUNTIF(O8:O34,"AB")</f>
        <v>1</v>
      </c>
      <c r="P41" s="209"/>
      <c r="Q41" s="219">
        <f>COUNTIF(Q8:Q34,"AB")</f>
        <v>0</v>
      </c>
      <c r="R41" s="219"/>
      <c r="S41" s="209">
        <f>COUNTIF(S13:S39,"AB")</f>
        <v>0</v>
      </c>
      <c r="T41" s="209"/>
      <c r="U41" s="209">
        <f>COUNTIF($U$8:$U$34,"AB")</f>
        <v>0</v>
      </c>
      <c r="V41" s="209"/>
      <c r="W41" s="219">
        <f>COUNTIF(W8:W34,"AB")</f>
        <v>0</v>
      </c>
      <c r="X41" s="209"/>
      <c r="Y41" s="219">
        <f>COUNTIF(Y8:Y34,"AB")</f>
        <v>2</v>
      </c>
      <c r="Z41" s="209"/>
      <c r="AA41" s="219">
        <f>COUNTIF(AA8:AA34,"AB")</f>
        <v>1</v>
      </c>
      <c r="AB41" s="209"/>
      <c r="AC41" s="219">
        <f>COUNTIF(AC8:AC34,"AB")</f>
        <v>1</v>
      </c>
      <c r="AD41" s="209"/>
      <c r="AE41" s="219">
        <f>COUNTIF(AE8:AE34,"AB")</f>
        <v>0</v>
      </c>
      <c r="AF41" s="209"/>
      <c r="AG41" s="219">
        <f>COUNTIF(AG8:AG34,"AB")</f>
        <v>1</v>
      </c>
      <c r="AH41" s="219"/>
      <c r="AI41" s="219">
        <f>COUNTIF(AI13:AI39,"AB")</f>
        <v>0</v>
      </c>
      <c r="AJ41" s="219"/>
      <c r="AK41" s="219">
        <f>COUNTIF(AK13:AK39,"AB")</f>
        <v>0</v>
      </c>
      <c r="AL41" s="220"/>
      <c r="AM41" s="220"/>
      <c r="AN41" s="220"/>
      <c r="AO41" s="212"/>
      <c r="AP41" s="212"/>
      <c r="AQ41" s="212"/>
      <c r="AR41" s="212"/>
      <c r="AS41" s="212"/>
      <c r="AT41" s="222"/>
    </row>
    <row r="42" ht="16.9" customHeight="1" spans="1:46">
      <c r="A42" s="223" t="s">
        <v>7</v>
      </c>
      <c r="B42" s="224"/>
      <c r="C42" s="225"/>
      <c r="D42" s="226"/>
      <c r="E42" s="224">
        <f>SUM(E36:E41)</f>
        <v>27</v>
      </c>
      <c r="F42" s="227"/>
      <c r="G42" s="228">
        <f>SUM(G36:G41)</f>
        <v>27</v>
      </c>
      <c r="H42" s="227"/>
      <c r="I42" s="228">
        <f>SUM(I36:I41)</f>
        <v>27</v>
      </c>
      <c r="J42" s="227"/>
      <c r="K42" s="228">
        <f>SUM(K36:K41)</f>
        <v>27</v>
      </c>
      <c r="L42" s="227"/>
      <c r="M42" s="228">
        <f>SUM(M36:M41)</f>
        <v>27</v>
      </c>
      <c r="N42" s="227"/>
      <c r="O42" s="228">
        <f>SUM(O36:O41)</f>
        <v>27</v>
      </c>
      <c r="P42" s="227"/>
      <c r="Q42" s="228">
        <f>SUM(Q36:Q41)</f>
        <v>27</v>
      </c>
      <c r="R42" s="228"/>
      <c r="S42" s="227">
        <f>SUM(S36:S41)</f>
        <v>4</v>
      </c>
      <c r="T42" s="227"/>
      <c r="U42" s="227">
        <f>SUM(U36:U41)</f>
        <v>2</v>
      </c>
      <c r="V42" s="227"/>
      <c r="W42" s="228">
        <f>SUM(W36:W41)</f>
        <v>1</v>
      </c>
      <c r="X42" s="227"/>
      <c r="Y42" s="228">
        <f>SUM(Y36:Y41)</f>
        <v>8</v>
      </c>
      <c r="Z42" s="227"/>
      <c r="AA42" s="228">
        <f>SUM(AA36:AA41)</f>
        <v>12</v>
      </c>
      <c r="AB42" s="227"/>
      <c r="AC42" s="228">
        <f>SUM(AC36:AC41)</f>
        <v>6</v>
      </c>
      <c r="AD42" s="227"/>
      <c r="AE42" s="228">
        <f>SUM(AE36:AE41)</f>
        <v>15</v>
      </c>
      <c r="AF42" s="227"/>
      <c r="AG42" s="228">
        <f>SUM(AG36:AG41)</f>
        <v>3</v>
      </c>
      <c r="AH42" s="69"/>
      <c r="AI42" s="69">
        <f>SUM(AI36:AI41)</f>
        <v>5</v>
      </c>
      <c r="AJ42" s="69"/>
      <c r="AK42" s="69">
        <f>SUM(AK36:AK41)</f>
        <v>1</v>
      </c>
      <c r="AL42" s="70"/>
      <c r="AM42" s="70"/>
      <c r="AN42" s="70"/>
      <c r="AO42" s="110"/>
      <c r="AP42" s="110"/>
      <c r="AQ42" s="110"/>
      <c r="AR42" s="110"/>
      <c r="AS42" s="110"/>
      <c r="AT42" s="2"/>
    </row>
    <row r="43" ht="19.15" customHeight="1" spans="1:46">
      <c r="A43" s="229"/>
      <c r="B43" s="230"/>
      <c r="C43" s="231"/>
      <c r="D43" s="232"/>
      <c r="E43" s="233"/>
      <c r="F43" s="232"/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  <c r="AA43" s="232"/>
      <c r="AB43" s="232"/>
      <c r="AC43" s="232"/>
      <c r="AD43" s="232"/>
      <c r="AE43" s="232"/>
      <c r="AF43" s="232"/>
      <c r="AG43" s="232"/>
      <c r="AH43" s="74"/>
      <c r="AI43" s="74"/>
      <c r="AJ43" s="74"/>
      <c r="AK43" s="74"/>
      <c r="AT43" s="2"/>
    </row>
    <row r="44" ht="19.15" customHeight="1" spans="1:46">
      <c r="A44" s="47"/>
      <c r="B44" s="77"/>
      <c r="C44" s="78"/>
      <c r="D44" s="38"/>
      <c r="E44" s="79"/>
      <c r="F44" s="38"/>
      <c r="G44" s="38"/>
      <c r="H44" s="38"/>
      <c r="I44" s="38"/>
      <c r="J44" s="38"/>
      <c r="K44" s="80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T44" s="2"/>
    </row>
  </sheetData>
  <mergeCells count="19">
    <mergeCell ref="A1:AG1"/>
    <mergeCell ref="A3:AS3"/>
    <mergeCell ref="A4:AS4"/>
    <mergeCell ref="D6:O6"/>
    <mergeCell ref="P6:W6"/>
    <mergeCell ref="X6:AC6"/>
    <mergeCell ref="AD6:AK6"/>
    <mergeCell ref="AO6:AT6"/>
    <mergeCell ref="A35:B35"/>
    <mergeCell ref="A36:B36"/>
    <mergeCell ref="A37:B37"/>
    <mergeCell ref="A38:B38"/>
    <mergeCell ref="A39:B39"/>
    <mergeCell ref="A40:B40"/>
    <mergeCell ref="A41:B41"/>
    <mergeCell ref="A42:B42"/>
    <mergeCell ref="A6:A7"/>
    <mergeCell ref="B6:B7"/>
    <mergeCell ref="C6:C7"/>
  </mergeCells>
  <pageMargins left="0.25" right="0.25" top="0.75" bottom="0.75" header="0.3" footer="0.3"/>
  <pageSetup paperSize="8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5"/>
  <sheetViews>
    <sheetView zoomScale="80" zoomScaleNormal="80" topLeftCell="A19" workbookViewId="0">
      <selection activeCell="M43" sqref="M43"/>
    </sheetView>
  </sheetViews>
  <sheetFormatPr defaultColWidth="9" defaultRowHeight="15.6"/>
  <cols>
    <col min="1" max="1" width="4.13888888888889" customWidth="1"/>
    <col min="2" max="2" width="29.287037037037" customWidth="1"/>
    <col min="3" max="3" width="6" customWidth="1"/>
    <col min="4" max="10" width="4" customWidth="1"/>
    <col min="11" max="11" width="4" style="1" customWidth="1"/>
    <col min="12" max="37" width="4" customWidth="1"/>
    <col min="38" max="38" width="4.28703703703704" customWidth="1"/>
    <col min="39" max="39" width="6.13888888888889" customWidth="1"/>
    <col min="40" max="40" width="3.13888888888889" customWidth="1"/>
    <col min="41" max="41" width="2.85185185185185" customWidth="1"/>
    <col min="42" max="42" width="2.57407407407407" customWidth="1"/>
    <col min="43" max="45" width="2.28703703703704" customWidth="1"/>
    <col min="46" max="46" width="2.71296296296296" style="2" customWidth="1"/>
  </cols>
  <sheetData>
    <row r="1" ht="25.8" spans="1:49">
      <c r="A1" s="3" t="s">
        <v>471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4.15" customHeight="1"/>
    <row r="3" ht="21" spans="1:49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ht="21" spans="1:49">
      <c r="A4" s="5" t="s">
        <v>472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ht="4.15" customHeight="1"/>
    <row r="6" customHeight="1" spans="1:49">
      <c r="A6" s="6" t="s">
        <v>3</v>
      </c>
      <c r="B6" s="7" t="s">
        <v>4</v>
      </c>
      <c r="C6" s="8" t="s">
        <v>5</v>
      </c>
      <c r="D6" s="88" t="s">
        <v>379</v>
      </c>
      <c r="E6" s="89"/>
      <c r="F6" s="89"/>
      <c r="G6" s="89"/>
      <c r="H6" s="89"/>
      <c r="I6" s="89"/>
      <c r="J6" s="89"/>
      <c r="K6" s="89"/>
      <c r="L6" s="89"/>
      <c r="M6" s="89"/>
      <c r="N6" s="89"/>
      <c r="O6" s="90"/>
      <c r="P6" s="88"/>
      <c r="Q6" s="89"/>
      <c r="R6" s="89"/>
      <c r="S6" s="89"/>
      <c r="T6" s="89"/>
      <c r="U6" s="89"/>
      <c r="V6" s="89"/>
      <c r="W6" s="90"/>
      <c r="X6" s="88"/>
      <c r="Y6" s="89"/>
      <c r="Z6" s="89"/>
      <c r="AA6" s="89"/>
      <c r="AB6" s="89"/>
      <c r="AC6" s="90"/>
      <c r="AD6" s="113"/>
      <c r="AE6" s="114"/>
      <c r="AF6" s="114"/>
      <c r="AG6" s="114"/>
      <c r="AH6" s="114"/>
      <c r="AI6" s="114"/>
      <c r="AJ6" s="114"/>
      <c r="AK6" s="114"/>
      <c r="AL6" s="91"/>
      <c r="AM6" s="91"/>
      <c r="AN6" s="91"/>
      <c r="AO6" s="115" t="s">
        <v>7</v>
      </c>
      <c r="AP6" s="115"/>
      <c r="AQ6" s="115"/>
      <c r="AR6" s="115"/>
      <c r="AS6" s="115"/>
      <c r="AT6" s="115"/>
    </row>
    <row r="7" ht="82.9" customHeight="1" spans="1:49">
      <c r="A7" s="6"/>
      <c r="B7" s="6"/>
      <c r="C7" s="13"/>
      <c r="D7" s="14" t="s">
        <v>8</v>
      </c>
      <c r="E7" s="15"/>
      <c r="F7" s="14" t="s">
        <v>9</v>
      </c>
      <c r="G7" s="14"/>
      <c r="H7" s="14" t="s">
        <v>10</v>
      </c>
      <c r="I7" s="14"/>
      <c r="J7" s="14" t="s">
        <v>11</v>
      </c>
      <c r="K7" s="14"/>
      <c r="L7" s="14" t="s">
        <v>12</v>
      </c>
      <c r="M7" s="14"/>
      <c r="N7" s="14" t="s">
        <v>13</v>
      </c>
      <c r="O7" s="14"/>
      <c r="P7" s="116" t="s">
        <v>14</v>
      </c>
      <c r="Q7" s="16"/>
      <c r="R7" s="16" t="s">
        <v>15</v>
      </c>
      <c r="S7" s="16"/>
      <c r="T7" s="16" t="s">
        <v>16</v>
      </c>
      <c r="U7" s="16"/>
      <c r="V7" s="16" t="s">
        <v>380</v>
      </c>
      <c r="W7" s="16"/>
      <c r="X7" s="17" t="s">
        <v>17</v>
      </c>
      <c r="Y7" s="17"/>
      <c r="Z7" s="17" t="s">
        <v>18</v>
      </c>
      <c r="AA7" s="17"/>
      <c r="AB7" s="17" t="s">
        <v>19</v>
      </c>
      <c r="AC7" s="92"/>
      <c r="AD7" s="117" t="s">
        <v>20</v>
      </c>
      <c r="AE7" s="93"/>
      <c r="AF7" s="93" t="s">
        <v>381</v>
      </c>
      <c r="AG7" s="93"/>
      <c r="AH7" s="93" t="s">
        <v>382</v>
      </c>
      <c r="AI7" s="93"/>
      <c r="AJ7" s="93" t="s">
        <v>383</v>
      </c>
      <c r="AK7" s="93"/>
      <c r="AL7" s="18" t="s">
        <v>7</v>
      </c>
      <c r="AM7" s="18" t="s">
        <v>22</v>
      </c>
      <c r="AN7" s="18" t="s">
        <v>23</v>
      </c>
      <c r="AO7" s="118" t="s">
        <v>24</v>
      </c>
      <c r="AP7" s="119" t="s">
        <v>25</v>
      </c>
      <c r="AQ7" s="120" t="s">
        <v>26</v>
      </c>
      <c r="AR7" s="119" t="s">
        <v>27</v>
      </c>
      <c r="AS7" s="121" t="s">
        <v>28</v>
      </c>
      <c r="AT7" s="122" t="s">
        <v>29</v>
      </c>
      <c r="AW7" s="123"/>
    </row>
    <row r="8" s="112" customFormat="1" ht="13.5" customHeight="1" spans="1:49">
      <c r="A8" s="124">
        <v>1</v>
      </c>
      <c r="B8" s="125" t="s">
        <v>473</v>
      </c>
      <c r="C8" s="126" t="s">
        <v>474</v>
      </c>
      <c r="D8" s="127"/>
      <c r="E8" s="127" t="str">
        <f t="shared" ref="E8:E41" si="0">IF(D8&gt;=75,"A",IF(D8&gt;=65,"B",IF(D8&gt;=50,"C",IF(D8&gt;=36,"S","W"))))</f>
        <v>W</v>
      </c>
      <c r="F8" s="127"/>
      <c r="G8" s="127" t="str">
        <f t="shared" ref="G8:G41" si="1">IF(F8&gt;=75,"A",IF(F8&gt;=65,"B",IF(F8&gt;=50,"C",IF(F8&gt;=36,"S","W"))))</f>
        <v>W</v>
      </c>
      <c r="H8" s="127">
        <v>49</v>
      </c>
      <c r="I8" s="127" t="str">
        <f t="shared" ref="I8:I13" si="2">IF(H8&gt;=75,"A",IF(H8&gt;=65,"B",IF(H8&gt;=50,"C",IF(H8&gt;=36,"S","W"))))</f>
        <v>S</v>
      </c>
      <c r="J8" s="127">
        <v>32</v>
      </c>
      <c r="K8" s="127" t="str">
        <f t="shared" ref="K8:K13" si="3">IF(J8&gt;=75,"A",IF(J8&gt;=65,"B",IF(J8&gt;=50,"C",IF(J8&gt;=36,"S","W"))))</f>
        <v>W</v>
      </c>
      <c r="L8" s="127">
        <v>45</v>
      </c>
      <c r="M8" s="127" t="str">
        <f>IF(L8&gt;=75,"A",IF(L8&gt;=65,"B",IF(L8&gt;=50,"C",IF(L8&gt;=36,"S","W"))))</f>
        <v>S</v>
      </c>
      <c r="N8" s="127"/>
      <c r="O8" s="128" t="str">
        <f t="shared" ref="O8:O41" si="4">IF(N8&gt;=75,"A",IF(N8&gt;=65,"B",IF(N8&gt;=50,"C",IF(N8&gt;=36,"S","W"))))</f>
        <v>W</v>
      </c>
      <c r="P8" s="129"/>
      <c r="Q8" s="129" t="str">
        <f t="shared" ref="Q8:Q41" si="5">IF(P8&gt;=75,"A",IF(P8&gt;=65,"B",IF(P8&gt;=50,"C",IF(P8&gt;=36,"S","W"))))</f>
        <v>W</v>
      </c>
      <c r="R8" s="129"/>
      <c r="S8" s="129"/>
      <c r="T8" s="130" t="s">
        <v>475</v>
      </c>
      <c r="U8" s="131"/>
      <c r="V8" s="129">
        <v>34</v>
      </c>
      <c r="W8" s="129" t="str">
        <f>IF(V8&gt;=75,"A",IF(V8&gt;=65,"B",IF(V8&gt;=50,"C",IF(V8&gt;=36,"S","W"))))</f>
        <v>W</v>
      </c>
      <c r="X8" s="132"/>
      <c r="Y8" s="132"/>
      <c r="Z8" s="132">
        <v>70</v>
      </c>
      <c r="AA8" s="132" t="str">
        <f>IF(Z8&gt;=75,"A",IF(Z8&gt;=65,"B",IF(Z8&gt;=50,"C",IF(Z8&gt;=36,"S","W"))))</f>
        <v>B</v>
      </c>
      <c r="AB8" s="132"/>
      <c r="AC8" s="132"/>
      <c r="AD8" s="133">
        <v>75</v>
      </c>
      <c r="AE8" s="133" t="str">
        <f t="shared" ref="AE8:AE13" si="6">IF(AD8&gt;=75,"A",IF(AD8&gt;=65,"B",IF(AD8&gt;=50,"C",IF(AD8&gt;=36,"S","W"))))</f>
        <v>A</v>
      </c>
      <c r="AF8" s="133"/>
      <c r="AG8" s="133"/>
      <c r="AH8" s="133"/>
      <c r="AI8" s="133"/>
      <c r="AJ8" s="133"/>
      <c r="AK8" s="133"/>
      <c r="AL8" s="134">
        <f t="shared" ref="AL8:AL41" si="7">SUM(D8,F8,H8,J8,L8,N8,P8,R8,T8,X8,Z8,AB8,AD8,AF8)</f>
        <v>271</v>
      </c>
      <c r="AM8" s="135">
        <f t="shared" ref="AM8:AM41" si="8">AVERAGE(D8,F8,H8,J8,L8,N8,P8,R8,T8,X8,Z8,AB8,AD8,AF8)</f>
        <v>54.2</v>
      </c>
      <c r="AN8" s="134">
        <f t="shared" ref="AN8:AN41" si="9">RANK(AL8,$AL$8:$AL$41,0)</f>
        <v>8</v>
      </c>
      <c r="AO8" s="36">
        <f t="shared" ref="AO8:AO41" si="10">COUNTIF(D8:AG8,"A")</f>
        <v>1</v>
      </c>
      <c r="AP8" s="36">
        <f t="shared" ref="AP8:AP41" si="11">COUNTIF(D8:AO8,"B")</f>
        <v>1</v>
      </c>
      <c r="AQ8" s="36">
        <f t="shared" ref="AQ8:AQ41" si="12">COUNTIF(D8:AP8,"C")</f>
        <v>0</v>
      </c>
      <c r="AR8" s="36">
        <f t="shared" ref="AR8:AR41" si="13">COUNTIF(E8:AQ8,"S")</f>
        <v>2</v>
      </c>
      <c r="AS8" s="136">
        <f t="shared" ref="AS8:AS41" si="14">COUNTIF(D8:AG8,"W")</f>
        <v>6</v>
      </c>
      <c r="AT8" s="37">
        <f t="shared" ref="AT8:AT41" si="15">(COUNTIF(D8:AK8,"AB"))/2</f>
        <v>0</v>
      </c>
      <c r="AU8" s="1"/>
      <c r="AV8" s="1"/>
      <c r="AW8" s="1"/>
    </row>
    <row r="9" s="112" customFormat="1" ht="13.5" customHeight="1" spans="1:49">
      <c r="A9" s="24">
        <v>2</v>
      </c>
      <c r="B9" s="125" t="s">
        <v>476</v>
      </c>
      <c r="C9" s="126" t="s">
        <v>474</v>
      </c>
      <c r="D9" s="127"/>
      <c r="E9" s="127" t="str">
        <f t="shared" si="0"/>
        <v>W</v>
      </c>
      <c r="F9" s="127"/>
      <c r="G9" s="127" t="str">
        <f t="shared" si="1"/>
        <v>W</v>
      </c>
      <c r="H9" s="127">
        <v>49</v>
      </c>
      <c r="I9" s="127" t="str">
        <f t="shared" si="2"/>
        <v>S</v>
      </c>
      <c r="J9" s="127">
        <v>48</v>
      </c>
      <c r="K9" s="127" t="str">
        <f t="shared" si="3"/>
        <v>S</v>
      </c>
      <c r="L9" s="127">
        <v>51</v>
      </c>
      <c r="M9" s="127" t="str">
        <f>IF(L9&gt;=75,"A",IF(L9&gt;=65,"B",IF(L9&gt;=50,"C",IF(L9&gt;=36,"S","W"))))</f>
        <v>C</v>
      </c>
      <c r="N9" s="127"/>
      <c r="O9" s="128" t="str">
        <f t="shared" si="4"/>
        <v>W</v>
      </c>
      <c r="P9" s="129"/>
      <c r="Q9" s="129" t="str">
        <f t="shared" si="5"/>
        <v>W</v>
      </c>
      <c r="R9" s="129"/>
      <c r="S9" s="129"/>
      <c r="T9" s="137"/>
      <c r="U9" s="138"/>
      <c r="V9" s="129"/>
      <c r="W9" s="129"/>
      <c r="X9" s="132">
        <v>65</v>
      </c>
      <c r="Y9" s="132" t="str">
        <f>IF(X9&gt;=75,"A",IF(X9&gt;=65,"B",IF(X9&gt;=50,"C",IF(X9&gt;=36,"S","W"))))</f>
        <v>B</v>
      </c>
      <c r="Z9" s="132"/>
      <c r="AA9" s="132"/>
      <c r="AB9" s="132"/>
      <c r="AC9" s="132"/>
      <c r="AD9" s="133">
        <v>75</v>
      </c>
      <c r="AE9" s="133" t="str">
        <f t="shared" si="6"/>
        <v>A</v>
      </c>
      <c r="AF9" s="133"/>
      <c r="AG9" s="133"/>
      <c r="AH9" s="133"/>
      <c r="AI9" s="133"/>
      <c r="AJ9" s="133"/>
      <c r="AK9" s="133"/>
      <c r="AL9" s="134">
        <f t="shared" si="7"/>
        <v>288</v>
      </c>
      <c r="AM9" s="135">
        <f t="shared" si="8"/>
        <v>57.6</v>
      </c>
      <c r="AN9" s="134">
        <f t="shared" si="9"/>
        <v>7</v>
      </c>
      <c r="AO9" s="36">
        <f t="shared" si="10"/>
        <v>1</v>
      </c>
      <c r="AP9" s="36">
        <f t="shared" si="11"/>
        <v>1</v>
      </c>
      <c r="AQ9" s="36">
        <f t="shared" si="12"/>
        <v>1</v>
      </c>
      <c r="AR9" s="36">
        <f t="shared" si="13"/>
        <v>2</v>
      </c>
      <c r="AS9" s="136">
        <f t="shared" si="14"/>
        <v>4</v>
      </c>
      <c r="AT9" s="37">
        <f t="shared" si="15"/>
        <v>0</v>
      </c>
      <c r="AU9" s="1"/>
      <c r="AV9" s="1"/>
      <c r="AW9" s="1"/>
    </row>
    <row r="10" s="112" customFormat="1" ht="13.5" customHeight="1" spans="1:49">
      <c r="A10" s="124">
        <v>3</v>
      </c>
      <c r="B10" s="125" t="s">
        <v>477</v>
      </c>
      <c r="C10" s="126" t="s">
        <v>474</v>
      </c>
      <c r="D10" s="127"/>
      <c r="E10" s="127" t="str">
        <f t="shared" si="0"/>
        <v>W</v>
      </c>
      <c r="F10" s="127"/>
      <c r="G10" s="127" t="str">
        <f t="shared" si="1"/>
        <v>W</v>
      </c>
      <c r="H10" s="127">
        <v>48</v>
      </c>
      <c r="I10" s="127" t="str">
        <f t="shared" si="2"/>
        <v>S</v>
      </c>
      <c r="J10" s="127">
        <v>23</v>
      </c>
      <c r="K10" s="127" t="str">
        <f t="shared" si="3"/>
        <v>W</v>
      </c>
      <c r="L10" s="127" t="s">
        <v>29</v>
      </c>
      <c r="M10" s="127" t="s">
        <v>29</v>
      </c>
      <c r="N10" s="127"/>
      <c r="O10" s="128" t="str">
        <f t="shared" si="4"/>
        <v>W</v>
      </c>
      <c r="P10" s="129"/>
      <c r="Q10" s="129" t="str">
        <f t="shared" si="5"/>
        <v>W</v>
      </c>
      <c r="R10" s="129"/>
      <c r="S10" s="129"/>
      <c r="T10" s="137"/>
      <c r="U10" s="138"/>
      <c r="V10" s="129"/>
      <c r="W10" s="129"/>
      <c r="X10" s="132"/>
      <c r="Y10" s="132"/>
      <c r="Z10" s="132"/>
      <c r="AA10" s="132"/>
      <c r="AB10" s="132">
        <v>45</v>
      </c>
      <c r="AC10" s="132" t="str">
        <f>IF(AB10&gt;=75,"A",IF(AB10&gt;=65,"B",IF(AB10&gt;=50,"C",IF(AB10&gt;=36,"S","W"))))</f>
        <v>S</v>
      </c>
      <c r="AD10" s="133">
        <v>72</v>
      </c>
      <c r="AE10" s="133" t="str">
        <f t="shared" si="6"/>
        <v>B</v>
      </c>
      <c r="AF10" s="133"/>
      <c r="AG10" s="133"/>
      <c r="AH10" s="133"/>
      <c r="AI10" s="133"/>
      <c r="AJ10" s="133"/>
      <c r="AK10" s="133"/>
      <c r="AL10" s="134">
        <f t="shared" si="7"/>
        <v>188</v>
      </c>
      <c r="AM10" s="135">
        <f t="shared" si="8"/>
        <v>47</v>
      </c>
      <c r="AN10" s="134">
        <f t="shared" si="9"/>
        <v>18</v>
      </c>
      <c r="AO10" s="36">
        <f t="shared" si="10"/>
        <v>0</v>
      </c>
      <c r="AP10" s="36">
        <f t="shared" si="11"/>
        <v>1</v>
      </c>
      <c r="AQ10" s="36">
        <f t="shared" si="12"/>
        <v>0</v>
      </c>
      <c r="AR10" s="36">
        <f t="shared" si="13"/>
        <v>2</v>
      </c>
      <c r="AS10" s="136">
        <f t="shared" si="14"/>
        <v>5</v>
      </c>
      <c r="AT10" s="37">
        <f t="shared" si="15"/>
        <v>1</v>
      </c>
      <c r="AU10" s="1"/>
      <c r="AV10" s="1"/>
      <c r="AW10" s="1"/>
    </row>
    <row r="11" s="112" customFormat="1" ht="13.5" customHeight="1" spans="1:49">
      <c r="A11" s="24">
        <v>4</v>
      </c>
      <c r="B11" s="125" t="s">
        <v>478</v>
      </c>
      <c r="C11" s="126" t="s">
        <v>474</v>
      </c>
      <c r="D11" s="127"/>
      <c r="E11" s="127" t="str">
        <f t="shared" si="0"/>
        <v>W</v>
      </c>
      <c r="F11" s="127"/>
      <c r="G11" s="127" t="str">
        <f t="shared" si="1"/>
        <v>W</v>
      </c>
      <c r="H11" s="127">
        <v>85</v>
      </c>
      <c r="I11" s="127" t="str">
        <f t="shared" si="2"/>
        <v>A</v>
      </c>
      <c r="J11" s="127">
        <v>27</v>
      </c>
      <c r="K11" s="127" t="str">
        <f t="shared" si="3"/>
        <v>W</v>
      </c>
      <c r="L11" s="127">
        <v>54</v>
      </c>
      <c r="M11" s="127" t="str">
        <f>IF(L11&gt;=75,"A",IF(L11&gt;=65,"B",IF(L11&gt;=50,"C",IF(L11&gt;=36,"S","W"))))</f>
        <v>C</v>
      </c>
      <c r="N11" s="127"/>
      <c r="O11" s="128" t="str">
        <f t="shared" si="4"/>
        <v>W</v>
      </c>
      <c r="P11" s="129"/>
      <c r="Q11" s="129" t="str">
        <f t="shared" si="5"/>
        <v>W</v>
      </c>
      <c r="R11" s="129"/>
      <c r="S11" s="129"/>
      <c r="T11" s="137"/>
      <c r="U11" s="138"/>
      <c r="V11" s="129"/>
      <c r="W11" s="129"/>
      <c r="X11" s="132"/>
      <c r="Y11" s="132"/>
      <c r="Z11" s="132"/>
      <c r="AA11" s="132"/>
      <c r="AB11" s="132">
        <v>60</v>
      </c>
      <c r="AC11" s="132" t="str">
        <f>IF(AB11&gt;=75,"A",IF(AB11&gt;=65,"B",IF(AB11&gt;=50,"C",IF(AB11&gt;=36,"S","W"))))</f>
        <v>C</v>
      </c>
      <c r="AD11" s="133">
        <v>89</v>
      </c>
      <c r="AE11" s="133" t="str">
        <f t="shared" si="6"/>
        <v>A</v>
      </c>
      <c r="AF11" s="133"/>
      <c r="AG11" s="133"/>
      <c r="AH11" s="133"/>
      <c r="AI11" s="133"/>
      <c r="AJ11" s="133"/>
      <c r="AK11" s="133"/>
      <c r="AL11" s="134">
        <f t="shared" si="7"/>
        <v>315</v>
      </c>
      <c r="AM11" s="135">
        <f t="shared" si="8"/>
        <v>63</v>
      </c>
      <c r="AN11" s="134">
        <f t="shared" si="9"/>
        <v>4</v>
      </c>
      <c r="AO11" s="36">
        <f t="shared" si="10"/>
        <v>2</v>
      </c>
      <c r="AP11" s="36">
        <f t="shared" si="11"/>
        <v>0</v>
      </c>
      <c r="AQ11" s="36">
        <f t="shared" si="12"/>
        <v>2</v>
      </c>
      <c r="AR11" s="36">
        <f t="shared" si="13"/>
        <v>0</v>
      </c>
      <c r="AS11" s="136">
        <f t="shared" si="14"/>
        <v>5</v>
      </c>
      <c r="AT11" s="37">
        <f t="shared" si="15"/>
        <v>0</v>
      </c>
      <c r="AU11" s="1"/>
      <c r="AV11" s="1"/>
      <c r="AW11" s="1"/>
    </row>
    <row r="12" s="112" customFormat="1" ht="13.5" customHeight="1" spans="1:49">
      <c r="A12" s="124">
        <v>5</v>
      </c>
      <c r="B12" s="125" t="s">
        <v>479</v>
      </c>
      <c r="C12" s="126" t="s">
        <v>474</v>
      </c>
      <c r="D12" s="127"/>
      <c r="E12" s="127" t="str">
        <f t="shared" si="0"/>
        <v>W</v>
      </c>
      <c r="F12" s="127"/>
      <c r="G12" s="127" t="str">
        <f t="shared" si="1"/>
        <v>W</v>
      </c>
      <c r="H12" s="127">
        <v>35</v>
      </c>
      <c r="I12" s="127" t="str">
        <f t="shared" si="2"/>
        <v>W</v>
      </c>
      <c r="J12" s="127">
        <v>31</v>
      </c>
      <c r="K12" s="127" t="str">
        <f t="shared" si="3"/>
        <v>W</v>
      </c>
      <c r="L12" s="127">
        <v>27</v>
      </c>
      <c r="M12" s="127" t="str">
        <f>IF(L12&gt;=75,"A",IF(L12&gt;=65,"B",IF(L12&gt;=50,"C",IF(L12&gt;=36,"S","W"))))</f>
        <v>W</v>
      </c>
      <c r="N12" s="127"/>
      <c r="O12" s="128" t="str">
        <f t="shared" si="4"/>
        <v>W</v>
      </c>
      <c r="P12" s="129"/>
      <c r="Q12" s="129" t="str">
        <f t="shared" si="5"/>
        <v>W</v>
      </c>
      <c r="R12" s="129">
        <v>45</v>
      </c>
      <c r="S12" s="129" t="str">
        <f>IF(R12&gt;=75,"A",IF(R12&gt;=65,"B",IF(R12&gt;=50,"C",IF(R12&gt;=36,"S","W"))))</f>
        <v>S</v>
      </c>
      <c r="T12" s="137"/>
      <c r="U12" s="138"/>
      <c r="V12" s="129"/>
      <c r="W12" s="129"/>
      <c r="X12" s="132"/>
      <c r="Y12" s="132"/>
      <c r="Z12" s="132"/>
      <c r="AA12" s="132"/>
      <c r="AB12" s="132">
        <v>55</v>
      </c>
      <c r="AC12" s="132" t="str">
        <f>IF(AB12&gt;=75,"A",IF(AB12&gt;=65,"B",IF(AB12&gt;=50,"C",IF(AB12&gt;=36,"S","W"))))</f>
        <v>C</v>
      </c>
      <c r="AD12" s="133">
        <v>60</v>
      </c>
      <c r="AE12" s="133" t="str">
        <f t="shared" si="6"/>
        <v>C</v>
      </c>
      <c r="AF12" s="133"/>
      <c r="AG12" s="133"/>
      <c r="AH12" s="133"/>
      <c r="AI12" s="133"/>
      <c r="AJ12" s="133"/>
      <c r="AK12" s="133"/>
      <c r="AL12" s="134">
        <f t="shared" si="7"/>
        <v>253</v>
      </c>
      <c r="AM12" s="135">
        <f t="shared" si="8"/>
        <v>42.1666666666667</v>
      </c>
      <c r="AN12" s="134">
        <f t="shared" si="9"/>
        <v>10</v>
      </c>
      <c r="AO12" s="36">
        <f t="shared" si="10"/>
        <v>0</v>
      </c>
      <c r="AP12" s="36">
        <f t="shared" si="11"/>
        <v>0</v>
      </c>
      <c r="AQ12" s="36">
        <f t="shared" si="12"/>
        <v>2</v>
      </c>
      <c r="AR12" s="36">
        <f t="shared" si="13"/>
        <v>1</v>
      </c>
      <c r="AS12" s="136">
        <f t="shared" si="14"/>
        <v>7</v>
      </c>
      <c r="AT12" s="37">
        <f t="shared" si="15"/>
        <v>0</v>
      </c>
      <c r="AU12" s="1"/>
      <c r="AV12" s="1"/>
      <c r="AW12" s="1"/>
    </row>
    <row r="13" s="112" customFormat="1" ht="13.5" customHeight="1" spans="1:49">
      <c r="A13" s="24">
        <v>6</v>
      </c>
      <c r="B13" s="125" t="s">
        <v>480</v>
      </c>
      <c r="C13" s="126" t="s">
        <v>474</v>
      </c>
      <c r="D13" s="127"/>
      <c r="E13" s="127" t="str">
        <f t="shared" si="0"/>
        <v>W</v>
      </c>
      <c r="F13" s="127"/>
      <c r="G13" s="127" t="str">
        <f t="shared" si="1"/>
        <v>W</v>
      </c>
      <c r="H13" s="127">
        <v>53</v>
      </c>
      <c r="I13" s="127" t="str">
        <f t="shared" si="2"/>
        <v>C</v>
      </c>
      <c r="J13" s="127">
        <v>36</v>
      </c>
      <c r="K13" s="127" t="str">
        <f t="shared" si="3"/>
        <v>S</v>
      </c>
      <c r="L13" s="127">
        <v>28</v>
      </c>
      <c r="M13" s="127" t="str">
        <f>IF(L13&gt;=75,"A",IF(L13&gt;=65,"B",IF(L13&gt;=50,"C",IF(L13&gt;=36,"S","W"))))</f>
        <v>W</v>
      </c>
      <c r="N13" s="127"/>
      <c r="O13" s="128" t="str">
        <f t="shared" si="4"/>
        <v>W</v>
      </c>
      <c r="P13" s="129"/>
      <c r="Q13" s="129" t="str">
        <f t="shared" si="5"/>
        <v>W</v>
      </c>
      <c r="R13" s="129"/>
      <c r="S13" s="129"/>
      <c r="T13" s="137"/>
      <c r="U13" s="138"/>
      <c r="V13" s="129"/>
      <c r="W13" s="129"/>
      <c r="X13" s="132"/>
      <c r="Y13" s="132"/>
      <c r="Z13" s="132"/>
      <c r="AA13" s="132"/>
      <c r="AB13" s="132">
        <v>42</v>
      </c>
      <c r="AC13" s="132" t="str">
        <f>IF(AB13&gt;=75,"A",IF(AB13&gt;=65,"B",IF(AB13&gt;=50,"C",IF(AB13&gt;=36,"S","W"))))</f>
        <v>S</v>
      </c>
      <c r="AD13" s="133">
        <v>80</v>
      </c>
      <c r="AE13" s="133" t="str">
        <f t="shared" si="6"/>
        <v>A</v>
      </c>
      <c r="AF13" s="133"/>
      <c r="AG13" s="133"/>
      <c r="AH13" s="133"/>
      <c r="AI13" s="133"/>
      <c r="AJ13" s="133"/>
      <c r="AK13" s="133"/>
      <c r="AL13" s="134">
        <f t="shared" si="7"/>
        <v>239</v>
      </c>
      <c r="AM13" s="135">
        <f t="shared" si="8"/>
        <v>47.8</v>
      </c>
      <c r="AN13" s="134">
        <f t="shared" si="9"/>
        <v>12</v>
      </c>
      <c r="AO13" s="36">
        <f t="shared" si="10"/>
        <v>1</v>
      </c>
      <c r="AP13" s="36">
        <f t="shared" si="11"/>
        <v>0</v>
      </c>
      <c r="AQ13" s="36">
        <f t="shared" si="12"/>
        <v>1</v>
      </c>
      <c r="AR13" s="36">
        <f t="shared" si="13"/>
        <v>2</v>
      </c>
      <c r="AS13" s="136">
        <f t="shared" si="14"/>
        <v>5</v>
      </c>
      <c r="AT13" s="37">
        <f t="shared" si="15"/>
        <v>0</v>
      </c>
      <c r="AU13" s="1"/>
      <c r="AV13" s="1"/>
      <c r="AW13" s="1"/>
    </row>
    <row r="14" s="112" customFormat="1" ht="13.5" customHeight="1" spans="1:49">
      <c r="A14" s="124">
        <v>7</v>
      </c>
      <c r="B14" s="125" t="s">
        <v>481</v>
      </c>
      <c r="C14" s="126" t="s">
        <v>474</v>
      </c>
      <c r="D14" s="127"/>
      <c r="E14" s="127" t="str">
        <f t="shared" si="0"/>
        <v>W</v>
      </c>
      <c r="F14" s="127"/>
      <c r="G14" s="127" t="str">
        <f t="shared" si="1"/>
        <v>W</v>
      </c>
      <c r="H14" s="127" t="s">
        <v>29</v>
      </c>
      <c r="I14" s="127" t="s">
        <v>29</v>
      </c>
      <c r="J14" s="127" t="s">
        <v>29</v>
      </c>
      <c r="K14" s="127" t="s">
        <v>29</v>
      </c>
      <c r="L14" s="127" t="s">
        <v>29</v>
      </c>
      <c r="M14" s="127" t="s">
        <v>29</v>
      </c>
      <c r="N14" s="127"/>
      <c r="O14" s="128" t="str">
        <f t="shared" si="4"/>
        <v>W</v>
      </c>
      <c r="P14" s="129"/>
      <c r="Q14" s="129" t="str">
        <f t="shared" si="5"/>
        <v>W</v>
      </c>
      <c r="R14" s="129"/>
      <c r="S14" s="129"/>
      <c r="T14" s="137"/>
      <c r="U14" s="138"/>
      <c r="V14" s="129"/>
      <c r="W14" s="129"/>
      <c r="X14" s="132"/>
      <c r="Y14" s="132"/>
      <c r="Z14" s="132"/>
      <c r="AA14" s="132"/>
      <c r="AB14" s="132"/>
      <c r="AC14" s="132"/>
      <c r="AD14" s="133" t="s">
        <v>29</v>
      </c>
      <c r="AE14" s="133" t="s">
        <v>29</v>
      </c>
      <c r="AF14" s="133"/>
      <c r="AG14" s="133"/>
      <c r="AH14" s="133"/>
      <c r="AI14" s="133"/>
      <c r="AJ14" s="133"/>
      <c r="AK14" s="133"/>
      <c r="AL14" s="134">
        <f t="shared" si="7"/>
        <v>0</v>
      </c>
      <c r="AM14" s="135" t="e">
        <f t="shared" si="8"/>
        <v>#DIV/0!</v>
      </c>
      <c r="AN14" s="134">
        <f t="shared" si="9"/>
        <v>34</v>
      </c>
      <c r="AO14" s="36">
        <f t="shared" si="10"/>
        <v>0</v>
      </c>
      <c r="AP14" s="36">
        <f t="shared" si="11"/>
        <v>0</v>
      </c>
      <c r="AQ14" s="36">
        <f t="shared" si="12"/>
        <v>0</v>
      </c>
      <c r="AR14" s="36">
        <f t="shared" si="13"/>
        <v>0</v>
      </c>
      <c r="AS14" s="136">
        <f t="shared" si="14"/>
        <v>4</v>
      </c>
      <c r="AT14" s="37">
        <f t="shared" si="15"/>
        <v>4</v>
      </c>
      <c r="AU14" s="1"/>
      <c r="AV14" s="1"/>
      <c r="AW14" s="1"/>
    </row>
    <row r="15" s="112" customFormat="1" ht="13.5" customHeight="1" spans="1:49">
      <c r="A15" s="24">
        <v>8</v>
      </c>
      <c r="B15" s="125" t="s">
        <v>482</v>
      </c>
      <c r="C15" s="126" t="s">
        <v>474</v>
      </c>
      <c r="D15" s="127"/>
      <c r="E15" s="127" t="str">
        <f t="shared" si="0"/>
        <v>W</v>
      </c>
      <c r="F15" s="127"/>
      <c r="G15" s="127" t="str">
        <f t="shared" si="1"/>
        <v>W</v>
      </c>
      <c r="H15" s="127">
        <v>36</v>
      </c>
      <c r="I15" s="127" t="str">
        <f t="shared" ref="I15:I20" si="16">IF(H15&gt;=75,"A",IF(H15&gt;=65,"B",IF(H15&gt;=50,"C",IF(H15&gt;=36,"S","W"))))</f>
        <v>S</v>
      </c>
      <c r="J15" s="127">
        <v>18</v>
      </c>
      <c r="K15" s="127" t="str">
        <f t="shared" ref="K15:K20" si="17">IF(J15&gt;=75,"A",IF(J15&gt;=65,"B",IF(J15&gt;=50,"C",IF(J15&gt;=36,"S","W"))))</f>
        <v>W</v>
      </c>
      <c r="L15" s="127">
        <v>25</v>
      </c>
      <c r="M15" s="127" t="str">
        <f t="shared" ref="M15:M21" si="18">IF(L15&gt;=75,"A",IF(L15&gt;=65,"B",IF(L15&gt;=50,"C",IF(L15&gt;=36,"S","W"))))</f>
        <v>W</v>
      </c>
      <c r="N15" s="127"/>
      <c r="O15" s="128" t="str">
        <f t="shared" si="4"/>
        <v>W</v>
      </c>
      <c r="P15" s="129"/>
      <c r="Q15" s="129" t="str">
        <f t="shared" si="5"/>
        <v>W</v>
      </c>
      <c r="R15" s="127" t="s">
        <v>29</v>
      </c>
      <c r="S15" s="127" t="s">
        <v>29</v>
      </c>
      <c r="T15" s="137"/>
      <c r="U15" s="138"/>
      <c r="V15" s="129"/>
      <c r="W15" s="129"/>
      <c r="X15" s="132">
        <v>37</v>
      </c>
      <c r="Y15" s="132" t="str">
        <f>IF(X15&gt;=75,"A",IF(X15&gt;=65,"B",IF(X15&gt;=50,"C",IF(X15&gt;=36,"S","W"))))</f>
        <v>S</v>
      </c>
      <c r="Z15" s="132"/>
      <c r="AA15" s="132"/>
      <c r="AB15" s="132"/>
      <c r="AC15" s="132"/>
      <c r="AD15" s="133"/>
      <c r="AE15" s="133"/>
      <c r="AF15" s="133"/>
      <c r="AG15" s="133"/>
      <c r="AH15" s="133">
        <v>21</v>
      </c>
      <c r="AI15" s="133" t="str">
        <f>IF(AH15&gt;=75,"A",IF(AH15&gt;=65,"B",IF(AH15&gt;=50,"C",IF(AH15&gt;=36,"S","W"))))</f>
        <v>W</v>
      </c>
      <c r="AJ15" s="133"/>
      <c r="AK15" s="133"/>
      <c r="AL15" s="134">
        <f t="shared" si="7"/>
        <v>116</v>
      </c>
      <c r="AM15" s="135">
        <f t="shared" si="8"/>
        <v>29</v>
      </c>
      <c r="AN15" s="134">
        <f t="shared" si="9"/>
        <v>25</v>
      </c>
      <c r="AO15" s="36">
        <f t="shared" si="10"/>
        <v>0</v>
      </c>
      <c r="AP15" s="36">
        <f t="shared" si="11"/>
        <v>0</v>
      </c>
      <c r="AQ15" s="36">
        <f t="shared" si="12"/>
        <v>0</v>
      </c>
      <c r="AR15" s="36">
        <f t="shared" si="13"/>
        <v>2</v>
      </c>
      <c r="AS15" s="136">
        <f t="shared" si="14"/>
        <v>6</v>
      </c>
      <c r="AT15" s="37">
        <f t="shared" si="15"/>
        <v>1</v>
      </c>
      <c r="AU15" s="1"/>
      <c r="AV15" s="1"/>
      <c r="AW15" s="1"/>
    </row>
    <row r="16" s="1" customFormat="1" ht="13.5" customHeight="1" spans="1:49">
      <c r="A16" s="124">
        <v>9</v>
      </c>
      <c r="B16" s="125" t="s">
        <v>483</v>
      </c>
      <c r="C16" s="126" t="s">
        <v>474</v>
      </c>
      <c r="D16" s="127"/>
      <c r="E16" s="127" t="str">
        <f t="shared" si="0"/>
        <v>W</v>
      </c>
      <c r="F16" s="127"/>
      <c r="G16" s="127" t="str">
        <f t="shared" si="1"/>
        <v>W</v>
      </c>
      <c r="H16" s="127">
        <v>22</v>
      </c>
      <c r="I16" s="127" t="str">
        <f t="shared" si="16"/>
        <v>W</v>
      </c>
      <c r="J16" s="127">
        <v>14</v>
      </c>
      <c r="K16" s="127" t="str">
        <f t="shared" si="17"/>
        <v>W</v>
      </c>
      <c r="L16" s="127">
        <v>19</v>
      </c>
      <c r="M16" s="127" t="str">
        <f t="shared" si="18"/>
        <v>W</v>
      </c>
      <c r="N16" s="127"/>
      <c r="O16" s="128" t="str">
        <f t="shared" si="4"/>
        <v>W</v>
      </c>
      <c r="P16" s="129"/>
      <c r="Q16" s="129" t="str">
        <f t="shared" si="5"/>
        <v>W</v>
      </c>
      <c r="R16" s="129"/>
      <c r="S16" s="129"/>
      <c r="T16" s="137"/>
      <c r="U16" s="138"/>
      <c r="V16" s="129"/>
      <c r="W16" s="129"/>
      <c r="X16" s="132"/>
      <c r="Y16" s="132"/>
      <c r="Z16" s="132"/>
      <c r="AA16" s="132"/>
      <c r="AB16" s="132">
        <v>24</v>
      </c>
      <c r="AC16" s="132" t="str">
        <f>IF(AB16&gt;=75,"A",IF(AB16&gt;=65,"B",IF(AB16&gt;=50,"C",IF(AB16&gt;=36,"S","W"))))</f>
        <v>W</v>
      </c>
      <c r="AD16" s="133"/>
      <c r="AE16" s="133"/>
      <c r="AF16" s="133">
        <v>23</v>
      </c>
      <c r="AG16" s="133" t="str">
        <f>IF(AF16&gt;=75,"A",IF(AF16&gt;=65,"B",IF(AF16&gt;=50,"C",IF(AF16&gt;=36,"S","W"))))</f>
        <v>W</v>
      </c>
      <c r="AH16" s="133"/>
      <c r="AI16" s="133"/>
      <c r="AJ16" s="133"/>
      <c r="AK16" s="133"/>
      <c r="AL16" s="134">
        <f t="shared" si="7"/>
        <v>102</v>
      </c>
      <c r="AM16" s="135">
        <f t="shared" si="8"/>
        <v>20.4</v>
      </c>
      <c r="AN16" s="134">
        <f t="shared" si="9"/>
        <v>29</v>
      </c>
      <c r="AO16" s="36">
        <f t="shared" si="10"/>
        <v>0</v>
      </c>
      <c r="AP16" s="36">
        <f t="shared" si="11"/>
        <v>0</v>
      </c>
      <c r="AQ16" s="36">
        <f t="shared" si="12"/>
        <v>0</v>
      </c>
      <c r="AR16" s="36">
        <f t="shared" si="13"/>
        <v>0</v>
      </c>
      <c r="AS16" s="136">
        <f t="shared" si="14"/>
        <v>9</v>
      </c>
      <c r="AT16" s="37">
        <f t="shared" si="15"/>
        <v>0</v>
      </c>
    </row>
    <row r="17" s="1" customFormat="1" ht="13.5" customHeight="1" spans="1:49">
      <c r="A17" s="24">
        <v>10</v>
      </c>
      <c r="B17" s="125" t="s">
        <v>484</v>
      </c>
      <c r="C17" s="126" t="s">
        <v>474</v>
      </c>
      <c r="D17" s="127"/>
      <c r="E17" s="127" t="str">
        <f t="shared" si="0"/>
        <v>W</v>
      </c>
      <c r="F17" s="127"/>
      <c r="G17" s="127" t="str">
        <f t="shared" si="1"/>
        <v>W</v>
      </c>
      <c r="H17" s="127">
        <v>28</v>
      </c>
      <c r="I17" s="127" t="str">
        <f t="shared" si="16"/>
        <v>W</v>
      </c>
      <c r="J17" s="127">
        <v>10</v>
      </c>
      <c r="K17" s="127" t="str">
        <f t="shared" si="17"/>
        <v>W</v>
      </c>
      <c r="L17" s="127">
        <v>22</v>
      </c>
      <c r="M17" s="127" t="str">
        <f t="shared" si="18"/>
        <v>W</v>
      </c>
      <c r="N17" s="127"/>
      <c r="O17" s="128" t="str">
        <f t="shared" si="4"/>
        <v>W</v>
      </c>
      <c r="P17" s="129"/>
      <c r="Q17" s="129" t="str">
        <f t="shared" si="5"/>
        <v>W</v>
      </c>
      <c r="R17" s="129">
        <v>36</v>
      </c>
      <c r="S17" s="129" t="str">
        <f>IF(R17&gt;=75,"A",IF(R17&gt;=65,"B",IF(R17&gt;=50,"C",IF(R17&gt;=36,"S","W"))))</f>
        <v>S</v>
      </c>
      <c r="T17" s="137"/>
      <c r="U17" s="138"/>
      <c r="V17" s="129"/>
      <c r="W17" s="129"/>
      <c r="X17" s="132"/>
      <c r="Y17" s="132"/>
      <c r="Z17" s="132"/>
      <c r="AA17" s="132"/>
      <c r="AB17" s="132">
        <v>20</v>
      </c>
      <c r="AC17" s="132" t="str">
        <f>IF(AB17&gt;=75,"A",IF(AB17&gt;=65,"B",IF(AB17&gt;=50,"C",IF(AB17&gt;=36,"S","W"))))</f>
        <v>W</v>
      </c>
      <c r="AD17" s="133">
        <v>67</v>
      </c>
      <c r="AE17" s="133" t="str">
        <f>IF(AD17&gt;=75,"A",IF(AD17&gt;=65,"B",IF(AD17&gt;=50,"C",IF(AD17&gt;=36,"S","W"))))</f>
        <v>B</v>
      </c>
      <c r="AF17" s="133"/>
      <c r="AG17" s="133"/>
      <c r="AH17" s="133"/>
      <c r="AI17" s="133"/>
      <c r="AJ17" s="133"/>
      <c r="AK17" s="133"/>
      <c r="AL17" s="134">
        <f t="shared" si="7"/>
        <v>183</v>
      </c>
      <c r="AM17" s="135">
        <f t="shared" si="8"/>
        <v>30.5</v>
      </c>
      <c r="AN17" s="134">
        <f t="shared" si="9"/>
        <v>19</v>
      </c>
      <c r="AO17" s="36">
        <f t="shared" si="10"/>
        <v>0</v>
      </c>
      <c r="AP17" s="36">
        <f t="shared" si="11"/>
        <v>1</v>
      </c>
      <c r="AQ17" s="36">
        <f t="shared" si="12"/>
        <v>0</v>
      </c>
      <c r="AR17" s="36">
        <f t="shared" si="13"/>
        <v>1</v>
      </c>
      <c r="AS17" s="136">
        <f t="shared" si="14"/>
        <v>8</v>
      </c>
      <c r="AT17" s="37">
        <f t="shared" si="15"/>
        <v>0</v>
      </c>
    </row>
    <row r="18" s="1" customFormat="1" ht="13.5" customHeight="1" spans="1:49">
      <c r="A18" s="124">
        <v>11</v>
      </c>
      <c r="B18" s="125" t="s">
        <v>485</v>
      </c>
      <c r="C18" s="126" t="s">
        <v>474</v>
      </c>
      <c r="D18" s="127"/>
      <c r="E18" s="127" t="str">
        <f t="shared" si="0"/>
        <v>W</v>
      </c>
      <c r="F18" s="127"/>
      <c r="G18" s="127" t="str">
        <f t="shared" si="1"/>
        <v>W</v>
      </c>
      <c r="H18" s="127">
        <v>25</v>
      </c>
      <c r="I18" s="127" t="str">
        <f t="shared" si="16"/>
        <v>W</v>
      </c>
      <c r="J18" s="127">
        <v>19</v>
      </c>
      <c r="K18" s="127" t="str">
        <f t="shared" si="17"/>
        <v>W</v>
      </c>
      <c r="L18" s="127">
        <v>16</v>
      </c>
      <c r="M18" s="127" t="str">
        <f t="shared" si="18"/>
        <v>W</v>
      </c>
      <c r="N18" s="127"/>
      <c r="O18" s="128" t="str">
        <f t="shared" si="4"/>
        <v>W</v>
      </c>
      <c r="P18" s="129"/>
      <c r="Q18" s="129" t="str">
        <f t="shared" si="5"/>
        <v>W</v>
      </c>
      <c r="R18" s="129"/>
      <c r="S18" s="129"/>
      <c r="T18" s="137"/>
      <c r="U18" s="138"/>
      <c r="V18" s="129"/>
      <c r="W18" s="129"/>
      <c r="X18" s="132">
        <v>35</v>
      </c>
      <c r="Y18" s="132" t="str">
        <f>IF(X18&gt;=75,"A",IF(X18&gt;=65,"B",IF(X18&gt;=50,"C",IF(X18&gt;=36,"S","W"))))</f>
        <v>W</v>
      </c>
      <c r="Z18" s="132"/>
      <c r="AA18" s="132"/>
      <c r="AB18" s="132"/>
      <c r="AC18" s="132"/>
      <c r="AD18" s="133">
        <v>42</v>
      </c>
      <c r="AE18" s="133" t="str">
        <f>IF(AD18&gt;=75,"A",IF(AD18&gt;=65,"B",IF(AD18&gt;=50,"C",IF(AD18&gt;=36,"S","W"))))</f>
        <v>S</v>
      </c>
      <c r="AF18" s="133"/>
      <c r="AG18" s="133"/>
      <c r="AH18" s="133"/>
      <c r="AI18" s="133"/>
      <c r="AJ18" s="133"/>
      <c r="AK18" s="133"/>
      <c r="AL18" s="134">
        <f t="shared" si="7"/>
        <v>137</v>
      </c>
      <c r="AM18" s="135">
        <f t="shared" si="8"/>
        <v>27.4</v>
      </c>
      <c r="AN18" s="134">
        <f t="shared" si="9"/>
        <v>23</v>
      </c>
      <c r="AO18" s="36">
        <f t="shared" si="10"/>
        <v>0</v>
      </c>
      <c r="AP18" s="36">
        <f t="shared" si="11"/>
        <v>0</v>
      </c>
      <c r="AQ18" s="36">
        <f t="shared" si="12"/>
        <v>0</v>
      </c>
      <c r="AR18" s="36">
        <f t="shared" si="13"/>
        <v>1</v>
      </c>
      <c r="AS18" s="136">
        <f t="shared" si="14"/>
        <v>8</v>
      </c>
      <c r="AT18" s="37">
        <f t="shared" si="15"/>
        <v>0</v>
      </c>
    </row>
    <row r="19" s="1" customFormat="1" ht="13.5" customHeight="1" spans="1:49">
      <c r="A19" s="24">
        <v>12</v>
      </c>
      <c r="B19" s="125" t="s">
        <v>486</v>
      </c>
      <c r="C19" s="126" t="s">
        <v>474</v>
      </c>
      <c r="D19" s="127"/>
      <c r="E19" s="127" t="str">
        <f t="shared" si="0"/>
        <v>W</v>
      </c>
      <c r="F19" s="127"/>
      <c r="G19" s="127" t="str">
        <f t="shared" si="1"/>
        <v>W</v>
      </c>
      <c r="H19" s="127">
        <v>16</v>
      </c>
      <c r="I19" s="127" t="str">
        <f t="shared" si="16"/>
        <v>W</v>
      </c>
      <c r="J19" s="127">
        <v>10</v>
      </c>
      <c r="K19" s="127" t="str">
        <f t="shared" si="17"/>
        <v>W</v>
      </c>
      <c r="L19" s="127">
        <v>18</v>
      </c>
      <c r="M19" s="127" t="str">
        <f t="shared" si="18"/>
        <v>W</v>
      </c>
      <c r="N19" s="127"/>
      <c r="O19" s="128" t="str">
        <f t="shared" si="4"/>
        <v>W</v>
      </c>
      <c r="P19" s="129"/>
      <c r="Q19" s="129" t="str">
        <f t="shared" si="5"/>
        <v>W</v>
      </c>
      <c r="R19" s="127" t="s">
        <v>29</v>
      </c>
      <c r="S19" s="127" t="s">
        <v>29</v>
      </c>
      <c r="T19" s="137"/>
      <c r="U19" s="138"/>
      <c r="V19" s="129"/>
      <c r="W19" s="129"/>
      <c r="X19" s="132"/>
      <c r="Y19" s="132"/>
      <c r="Z19" s="132"/>
      <c r="AA19" s="132"/>
      <c r="AB19" s="132">
        <v>27</v>
      </c>
      <c r="AC19" s="132" t="str">
        <f>IF(AB19&gt;=75,"A",IF(AB19&gt;=65,"B",IF(AB19&gt;=50,"C",IF(AB19&gt;=36,"S","W"))))</f>
        <v>W</v>
      </c>
      <c r="AD19" s="133">
        <v>42</v>
      </c>
      <c r="AE19" s="133" t="str">
        <f>IF(AD19&gt;=75,"A",IF(AD19&gt;=65,"B",IF(AD19&gt;=50,"C",IF(AD19&gt;=36,"S","W"))))</f>
        <v>S</v>
      </c>
      <c r="AF19" s="133"/>
      <c r="AG19" s="133"/>
      <c r="AH19" s="133"/>
      <c r="AI19" s="133"/>
      <c r="AJ19" s="133"/>
      <c r="AK19" s="133"/>
      <c r="AL19" s="134">
        <f t="shared" si="7"/>
        <v>113</v>
      </c>
      <c r="AM19" s="135">
        <f t="shared" si="8"/>
        <v>22.6</v>
      </c>
      <c r="AN19" s="134">
        <f t="shared" si="9"/>
        <v>27</v>
      </c>
      <c r="AO19" s="36">
        <f t="shared" si="10"/>
        <v>0</v>
      </c>
      <c r="AP19" s="36">
        <f t="shared" si="11"/>
        <v>0</v>
      </c>
      <c r="AQ19" s="36">
        <f t="shared" si="12"/>
        <v>0</v>
      </c>
      <c r="AR19" s="36">
        <f t="shared" si="13"/>
        <v>1</v>
      </c>
      <c r="AS19" s="136">
        <f t="shared" si="14"/>
        <v>8</v>
      </c>
      <c r="AT19" s="37">
        <f t="shared" si="15"/>
        <v>1</v>
      </c>
    </row>
    <row r="20" s="112" customFormat="1" ht="13.5" customHeight="1" spans="1:49">
      <c r="A20" s="124">
        <v>13</v>
      </c>
      <c r="B20" s="125" t="s">
        <v>487</v>
      </c>
      <c r="C20" s="126" t="s">
        <v>474</v>
      </c>
      <c r="D20" s="127"/>
      <c r="E20" s="127" t="str">
        <f t="shared" si="0"/>
        <v>W</v>
      </c>
      <c r="F20" s="127"/>
      <c r="G20" s="127" t="str">
        <f t="shared" si="1"/>
        <v>W</v>
      </c>
      <c r="H20" s="127">
        <v>21</v>
      </c>
      <c r="I20" s="127" t="str">
        <f t="shared" si="16"/>
        <v>W</v>
      </c>
      <c r="J20" s="127">
        <v>9</v>
      </c>
      <c r="K20" s="127" t="str">
        <f t="shared" si="17"/>
        <v>W</v>
      </c>
      <c r="L20" s="127">
        <v>21</v>
      </c>
      <c r="M20" s="127" t="str">
        <f t="shared" si="18"/>
        <v>W</v>
      </c>
      <c r="N20" s="127"/>
      <c r="O20" s="128" t="str">
        <f t="shared" si="4"/>
        <v>W</v>
      </c>
      <c r="P20" s="129"/>
      <c r="Q20" s="129" t="str">
        <f t="shared" si="5"/>
        <v>W</v>
      </c>
      <c r="R20" s="129"/>
      <c r="S20" s="129"/>
      <c r="T20" s="137"/>
      <c r="U20" s="138"/>
      <c r="V20" s="129"/>
      <c r="W20" s="129"/>
      <c r="X20" s="132"/>
      <c r="Y20" s="132"/>
      <c r="Z20" s="132">
        <v>32</v>
      </c>
      <c r="AA20" s="132" t="str">
        <f>IF(Z20&gt;=75,"A",IF(Z20&gt;=65,"B",IF(Z20&gt;=50,"C",IF(Z20&gt;=36,"S","W"))))</f>
        <v>W</v>
      </c>
      <c r="AB20" s="132"/>
      <c r="AC20" s="132"/>
      <c r="AD20" s="133">
        <v>52</v>
      </c>
      <c r="AE20" s="133" t="str">
        <f>IF(AD20&gt;=75,"A",IF(AD20&gt;=65,"B",IF(AD20&gt;=50,"C",IF(AD20&gt;=36,"S","W"))))</f>
        <v>C</v>
      </c>
      <c r="AF20" s="133"/>
      <c r="AG20" s="133"/>
      <c r="AH20" s="133"/>
      <c r="AI20" s="133"/>
      <c r="AJ20" s="133"/>
      <c r="AK20" s="133"/>
      <c r="AL20" s="134">
        <f t="shared" si="7"/>
        <v>135</v>
      </c>
      <c r="AM20" s="135">
        <f t="shared" si="8"/>
        <v>27</v>
      </c>
      <c r="AN20" s="134">
        <f t="shared" si="9"/>
        <v>24</v>
      </c>
      <c r="AO20" s="36">
        <f t="shared" si="10"/>
        <v>0</v>
      </c>
      <c r="AP20" s="36">
        <f t="shared" si="11"/>
        <v>0</v>
      </c>
      <c r="AQ20" s="36">
        <f t="shared" si="12"/>
        <v>1</v>
      </c>
      <c r="AR20" s="36">
        <f t="shared" si="13"/>
        <v>0</v>
      </c>
      <c r="AS20" s="136">
        <f t="shared" si="14"/>
        <v>8</v>
      </c>
      <c r="AT20" s="37">
        <f t="shared" si="15"/>
        <v>0</v>
      </c>
      <c r="AW20" s="1"/>
    </row>
    <row r="21" s="112" customFormat="1" ht="13.5" customHeight="1" spans="1:49">
      <c r="A21" s="24">
        <v>14</v>
      </c>
      <c r="B21" s="125" t="s">
        <v>488</v>
      </c>
      <c r="C21" s="126" t="s">
        <v>474</v>
      </c>
      <c r="D21" s="127"/>
      <c r="E21" s="127" t="str">
        <f t="shared" si="0"/>
        <v>W</v>
      </c>
      <c r="F21" s="127"/>
      <c r="G21" s="127" t="str">
        <f t="shared" si="1"/>
        <v>W</v>
      </c>
      <c r="H21" s="127" t="s">
        <v>29</v>
      </c>
      <c r="I21" s="127" t="s">
        <v>29</v>
      </c>
      <c r="J21" s="127" t="s">
        <v>29</v>
      </c>
      <c r="K21" s="127" t="s">
        <v>29</v>
      </c>
      <c r="L21" s="127">
        <v>24</v>
      </c>
      <c r="M21" s="127" t="str">
        <f t="shared" si="18"/>
        <v>W</v>
      </c>
      <c r="N21" s="127"/>
      <c r="O21" s="128" t="str">
        <f t="shared" si="4"/>
        <v>W</v>
      </c>
      <c r="P21" s="129"/>
      <c r="Q21" s="129" t="str">
        <f t="shared" si="5"/>
        <v>W</v>
      </c>
      <c r="R21" s="129"/>
      <c r="S21" s="129"/>
      <c r="T21" s="137"/>
      <c r="U21" s="138"/>
      <c r="V21" s="129"/>
      <c r="W21" s="129"/>
      <c r="X21" s="132"/>
      <c r="Y21" s="132"/>
      <c r="Z21" s="132"/>
      <c r="AA21" s="132"/>
      <c r="AB21" s="132"/>
      <c r="AC21" s="132"/>
      <c r="AD21" s="133">
        <v>61</v>
      </c>
      <c r="AE21" s="133" t="str">
        <f>IF(AD21&gt;=75,"A",IF(AD21&gt;=65,"B",IF(AD21&gt;=50,"C",IF(AD21&gt;=36,"S","W"))))</f>
        <v>C</v>
      </c>
      <c r="AF21" s="133"/>
      <c r="AG21" s="133"/>
      <c r="AH21" s="133"/>
      <c r="AI21" s="133"/>
      <c r="AJ21" s="133"/>
      <c r="AK21" s="133"/>
      <c r="AL21" s="134">
        <f t="shared" si="7"/>
        <v>85</v>
      </c>
      <c r="AM21" s="135">
        <f t="shared" si="8"/>
        <v>42.5</v>
      </c>
      <c r="AN21" s="134">
        <f t="shared" si="9"/>
        <v>30</v>
      </c>
      <c r="AO21" s="36">
        <f t="shared" si="10"/>
        <v>0</v>
      </c>
      <c r="AP21" s="36">
        <f t="shared" si="11"/>
        <v>0</v>
      </c>
      <c r="AQ21" s="36">
        <f t="shared" si="12"/>
        <v>1</v>
      </c>
      <c r="AR21" s="36">
        <f t="shared" si="13"/>
        <v>0</v>
      </c>
      <c r="AS21" s="136">
        <f t="shared" si="14"/>
        <v>5</v>
      </c>
      <c r="AT21" s="37">
        <f t="shared" si="15"/>
        <v>2</v>
      </c>
    </row>
    <row r="22" s="112" customFormat="1" ht="13.5" customHeight="1" spans="1:49">
      <c r="A22" s="124">
        <v>15</v>
      </c>
      <c r="B22" s="125" t="s">
        <v>489</v>
      </c>
      <c r="C22" s="126" t="s">
        <v>474</v>
      </c>
      <c r="D22" s="127"/>
      <c r="E22" s="127" t="str">
        <f t="shared" si="0"/>
        <v>W</v>
      </c>
      <c r="F22" s="127"/>
      <c r="G22" s="127" t="str">
        <f t="shared" si="1"/>
        <v>W</v>
      </c>
      <c r="H22" s="127">
        <v>16</v>
      </c>
      <c r="I22" s="127" t="str">
        <f>IF(H22&gt;=75,"A",IF(H22&gt;=65,"B",IF(H22&gt;=50,"C",IF(H22&gt;=36,"S","W"))))</f>
        <v>W</v>
      </c>
      <c r="J22" s="127">
        <v>7</v>
      </c>
      <c r="K22" s="127" t="str">
        <f t="shared" ref="K22:K41" si="19">IF(J22&gt;=75,"A",IF(J22&gt;=65,"B",IF(J22&gt;=50,"C",IF(J22&gt;=36,"S","W"))))</f>
        <v>W</v>
      </c>
      <c r="L22" s="127" t="s">
        <v>29</v>
      </c>
      <c r="M22" s="127" t="s">
        <v>29</v>
      </c>
      <c r="N22" s="127"/>
      <c r="O22" s="128" t="str">
        <f t="shared" si="4"/>
        <v>W</v>
      </c>
      <c r="P22" s="129"/>
      <c r="Q22" s="129" t="str">
        <f t="shared" si="5"/>
        <v>W</v>
      </c>
      <c r="R22" s="129"/>
      <c r="S22" s="129"/>
      <c r="T22" s="137"/>
      <c r="U22" s="138"/>
      <c r="V22" s="129"/>
      <c r="W22" s="129"/>
      <c r="X22" s="132"/>
      <c r="Y22" s="132"/>
      <c r="Z22" s="132"/>
      <c r="AA22" s="132"/>
      <c r="AB22" s="132"/>
      <c r="AC22" s="132"/>
      <c r="AD22" s="133"/>
      <c r="AE22" s="133"/>
      <c r="AF22" s="133"/>
      <c r="AG22" s="133"/>
      <c r="AH22" s="133"/>
      <c r="AI22" s="133"/>
      <c r="AJ22" s="133"/>
      <c r="AK22" s="133"/>
      <c r="AL22" s="134">
        <f t="shared" si="7"/>
        <v>23</v>
      </c>
      <c r="AM22" s="135">
        <f t="shared" si="8"/>
        <v>11.5</v>
      </c>
      <c r="AN22" s="134">
        <f t="shared" si="9"/>
        <v>33</v>
      </c>
      <c r="AO22" s="36">
        <f t="shared" si="10"/>
        <v>0</v>
      </c>
      <c r="AP22" s="36">
        <f t="shared" si="11"/>
        <v>0</v>
      </c>
      <c r="AQ22" s="36">
        <f t="shared" si="12"/>
        <v>0</v>
      </c>
      <c r="AR22" s="36">
        <f t="shared" si="13"/>
        <v>0</v>
      </c>
      <c r="AS22" s="136">
        <f t="shared" si="14"/>
        <v>6</v>
      </c>
      <c r="AT22" s="37">
        <f t="shared" si="15"/>
        <v>1</v>
      </c>
    </row>
    <row r="23" s="112" customFormat="1" ht="13.5" customHeight="1" spans="1:49">
      <c r="A23" s="24">
        <v>16</v>
      </c>
      <c r="B23" s="125" t="s">
        <v>490</v>
      </c>
      <c r="C23" s="126" t="s">
        <v>474</v>
      </c>
      <c r="D23" s="127"/>
      <c r="E23" s="127" t="str">
        <f t="shared" si="0"/>
        <v>W</v>
      </c>
      <c r="F23" s="127"/>
      <c r="G23" s="127" t="str">
        <f t="shared" si="1"/>
        <v>W</v>
      </c>
      <c r="H23" s="127">
        <v>40</v>
      </c>
      <c r="I23" s="127" t="str">
        <f>IF(H23&gt;=75,"A",IF(H23&gt;=65,"B",IF(H23&gt;=50,"C",IF(H23&gt;=36,"S","W"))))</f>
        <v>S</v>
      </c>
      <c r="J23" s="127">
        <v>7</v>
      </c>
      <c r="K23" s="127" t="str">
        <f t="shared" si="19"/>
        <v>W</v>
      </c>
      <c r="L23" s="127">
        <v>12</v>
      </c>
      <c r="M23" s="127" t="str">
        <f>IF(L23&gt;=75,"A",IF(L23&gt;=65,"B",IF(L23&gt;=50,"C",IF(L23&gt;=36,"S","W"))))</f>
        <v>W</v>
      </c>
      <c r="N23" s="127"/>
      <c r="O23" s="128" t="str">
        <f t="shared" si="4"/>
        <v>W</v>
      </c>
      <c r="P23" s="129"/>
      <c r="Q23" s="129" t="str">
        <f t="shared" si="5"/>
        <v>W</v>
      </c>
      <c r="R23" s="129"/>
      <c r="S23" s="129"/>
      <c r="T23" s="137"/>
      <c r="U23" s="138"/>
      <c r="V23" s="129"/>
      <c r="W23" s="129"/>
      <c r="X23" s="132"/>
      <c r="Y23" s="132"/>
      <c r="Z23" s="132"/>
      <c r="AA23" s="132"/>
      <c r="AB23" s="132">
        <v>45</v>
      </c>
      <c r="AC23" s="132" t="str">
        <f>IF(AB23&gt;=75,"A",IF(AB23&gt;=65,"B",IF(AB23&gt;=50,"C",IF(AB23&gt;=36,"S","W"))))</f>
        <v>S</v>
      </c>
      <c r="AD23" s="133" t="s">
        <v>29</v>
      </c>
      <c r="AE23" s="133" t="s">
        <v>29</v>
      </c>
      <c r="AF23" s="133"/>
      <c r="AG23" s="133"/>
      <c r="AH23" s="133"/>
      <c r="AI23" s="133"/>
      <c r="AJ23" s="133"/>
      <c r="AK23" s="133"/>
      <c r="AL23" s="134">
        <f t="shared" si="7"/>
        <v>104</v>
      </c>
      <c r="AM23" s="135">
        <f t="shared" si="8"/>
        <v>26</v>
      </c>
      <c r="AN23" s="134">
        <f t="shared" si="9"/>
        <v>28</v>
      </c>
      <c r="AO23" s="36">
        <f t="shared" si="10"/>
        <v>0</v>
      </c>
      <c r="AP23" s="36">
        <f t="shared" si="11"/>
        <v>0</v>
      </c>
      <c r="AQ23" s="36">
        <f t="shared" si="12"/>
        <v>0</v>
      </c>
      <c r="AR23" s="36">
        <f t="shared" si="13"/>
        <v>2</v>
      </c>
      <c r="AS23" s="136">
        <f t="shared" si="14"/>
        <v>6</v>
      </c>
      <c r="AT23" s="37">
        <f t="shared" si="15"/>
        <v>1</v>
      </c>
    </row>
    <row r="24" s="112" customFormat="1" ht="13.5" customHeight="1" spans="1:49">
      <c r="A24" s="124">
        <v>17</v>
      </c>
      <c r="B24" s="125" t="s">
        <v>491</v>
      </c>
      <c r="C24" s="126" t="s">
        <v>474</v>
      </c>
      <c r="D24" s="127"/>
      <c r="E24" s="127" t="str">
        <f t="shared" si="0"/>
        <v>W</v>
      </c>
      <c r="F24" s="127"/>
      <c r="G24" s="127" t="str">
        <f t="shared" si="1"/>
        <v>W</v>
      </c>
      <c r="H24" s="127">
        <v>27</v>
      </c>
      <c r="I24" s="127" t="str">
        <f>IF(H24&gt;=75,"A",IF(H24&gt;=65,"B",IF(H24&gt;=50,"C",IF(H24&gt;=36,"S","W"))))</f>
        <v>W</v>
      </c>
      <c r="J24" s="127">
        <v>19</v>
      </c>
      <c r="K24" s="127" t="str">
        <f t="shared" si="19"/>
        <v>W</v>
      </c>
      <c r="L24" s="127">
        <v>18</v>
      </c>
      <c r="M24" s="127" t="str">
        <f>IF(L24&gt;=75,"A",IF(L24&gt;=65,"B",IF(L24&gt;=50,"C",IF(L24&gt;=36,"S","W"))))</f>
        <v>W</v>
      </c>
      <c r="N24" s="127"/>
      <c r="O24" s="128" t="str">
        <f t="shared" si="4"/>
        <v>W</v>
      </c>
      <c r="P24" s="129"/>
      <c r="Q24" s="129" t="str">
        <f t="shared" si="5"/>
        <v>W</v>
      </c>
      <c r="R24" s="129">
        <v>30</v>
      </c>
      <c r="S24" s="129" t="str">
        <f>IF(R24&gt;=75,"A",IF(R24&gt;=65,"B",IF(R24&gt;=50,"C",IF(R24&gt;=36,"S","W"))))</f>
        <v>W</v>
      </c>
      <c r="T24" s="137"/>
      <c r="U24" s="138"/>
      <c r="V24" s="129"/>
      <c r="W24" s="129"/>
      <c r="X24" s="132">
        <v>37</v>
      </c>
      <c r="Y24" s="132" t="str">
        <f>IF(X24&gt;=75,"A",IF(X24&gt;=65,"B",IF(X24&gt;=50,"C",IF(X24&gt;=36,"S","W"))))</f>
        <v>S</v>
      </c>
      <c r="Z24" s="132"/>
      <c r="AA24" s="132"/>
      <c r="AB24" s="132"/>
      <c r="AC24" s="132"/>
      <c r="AD24" s="133">
        <v>62</v>
      </c>
      <c r="AE24" s="133" t="str">
        <f>IF(AD24&gt;=75,"A",IF(AD24&gt;=65,"B",IF(AD24&gt;=50,"C",IF(AD24&gt;=36,"S","W"))))</f>
        <v>C</v>
      </c>
      <c r="AF24" s="133"/>
      <c r="AG24" s="133"/>
      <c r="AH24" s="133"/>
      <c r="AI24" s="133"/>
      <c r="AJ24" s="133"/>
      <c r="AK24" s="133"/>
      <c r="AL24" s="134">
        <f t="shared" si="7"/>
        <v>193</v>
      </c>
      <c r="AM24" s="135">
        <f t="shared" si="8"/>
        <v>32.1666666666667</v>
      </c>
      <c r="AN24" s="134">
        <f t="shared" si="9"/>
        <v>17</v>
      </c>
      <c r="AO24" s="36">
        <f t="shared" si="10"/>
        <v>0</v>
      </c>
      <c r="AP24" s="36">
        <f t="shared" si="11"/>
        <v>0</v>
      </c>
      <c r="AQ24" s="36">
        <f t="shared" si="12"/>
        <v>1</v>
      </c>
      <c r="AR24" s="36">
        <f t="shared" si="13"/>
        <v>1</v>
      </c>
      <c r="AS24" s="136">
        <f t="shared" si="14"/>
        <v>8</v>
      </c>
      <c r="AT24" s="37">
        <f t="shared" si="15"/>
        <v>0</v>
      </c>
    </row>
    <row r="25" s="112" customFormat="1" ht="13.5" customHeight="1" spans="1:49">
      <c r="A25" s="24">
        <v>18</v>
      </c>
      <c r="B25" s="125" t="s">
        <v>492</v>
      </c>
      <c r="C25" s="126" t="s">
        <v>474</v>
      </c>
      <c r="D25" s="127"/>
      <c r="E25" s="127" t="str">
        <f t="shared" si="0"/>
        <v>W</v>
      </c>
      <c r="F25" s="127"/>
      <c r="G25" s="127" t="str">
        <f t="shared" si="1"/>
        <v>W</v>
      </c>
      <c r="H25" s="127" t="s">
        <v>29</v>
      </c>
      <c r="I25" s="127" t="s">
        <v>29</v>
      </c>
      <c r="J25" s="127">
        <v>22</v>
      </c>
      <c r="K25" s="127" t="str">
        <f t="shared" si="19"/>
        <v>W</v>
      </c>
      <c r="L25" s="127">
        <v>15</v>
      </c>
      <c r="M25" s="127" t="str">
        <f>IF(L25&gt;=75,"A",IF(L25&gt;=65,"B",IF(L25&gt;=50,"C",IF(L25&gt;=36,"S","W"))))</f>
        <v>W</v>
      </c>
      <c r="N25" s="127"/>
      <c r="O25" s="128" t="str">
        <f t="shared" si="4"/>
        <v>W</v>
      </c>
      <c r="P25" s="129"/>
      <c r="Q25" s="129" t="str">
        <f t="shared" si="5"/>
        <v>W</v>
      </c>
      <c r="R25" s="129"/>
      <c r="S25" s="129"/>
      <c r="T25" s="137"/>
      <c r="U25" s="138"/>
      <c r="V25" s="129"/>
      <c r="W25" s="129"/>
      <c r="X25" s="132">
        <v>29</v>
      </c>
      <c r="Y25" s="132" t="str">
        <f>IF(X25&gt;=75,"A",IF(X25&gt;=65,"B",IF(X25&gt;=50,"C",IF(X25&gt;=36,"S","W"))))</f>
        <v>W</v>
      </c>
      <c r="Z25" s="132"/>
      <c r="AA25" s="132"/>
      <c r="AB25" s="132"/>
      <c r="AC25" s="132"/>
      <c r="AD25" s="133"/>
      <c r="AE25" s="133"/>
      <c r="AF25" s="133"/>
      <c r="AG25" s="133"/>
      <c r="AH25" s="133">
        <v>15</v>
      </c>
      <c r="AI25" s="133" t="str">
        <f>IF(AH25&gt;=75,"A",IF(AH25&gt;=65,"B",IF(AH25&gt;=50,"C",IF(AH25&gt;=36,"S","W"))))</f>
        <v>W</v>
      </c>
      <c r="AJ25" s="133"/>
      <c r="AK25" s="133"/>
      <c r="AL25" s="134">
        <f t="shared" si="7"/>
        <v>66</v>
      </c>
      <c r="AM25" s="135">
        <f t="shared" si="8"/>
        <v>22</v>
      </c>
      <c r="AN25" s="134">
        <f t="shared" si="9"/>
        <v>31</v>
      </c>
      <c r="AO25" s="36">
        <f t="shared" si="10"/>
        <v>0</v>
      </c>
      <c r="AP25" s="36">
        <f t="shared" si="11"/>
        <v>0</v>
      </c>
      <c r="AQ25" s="36">
        <f t="shared" si="12"/>
        <v>0</v>
      </c>
      <c r="AR25" s="36">
        <f t="shared" si="13"/>
        <v>0</v>
      </c>
      <c r="AS25" s="136">
        <f t="shared" si="14"/>
        <v>7</v>
      </c>
      <c r="AT25" s="37">
        <f t="shared" si="15"/>
        <v>1</v>
      </c>
    </row>
    <row r="26" s="112" customFormat="1" ht="13.5" customHeight="1" spans="1:49">
      <c r="A26" s="124">
        <v>19</v>
      </c>
      <c r="B26" s="125" t="s">
        <v>493</v>
      </c>
      <c r="C26" s="126" t="s">
        <v>474</v>
      </c>
      <c r="D26" s="127"/>
      <c r="E26" s="127" t="str">
        <f t="shared" si="0"/>
        <v>W</v>
      </c>
      <c r="F26" s="127"/>
      <c r="G26" s="127" t="str">
        <f t="shared" si="1"/>
        <v>W</v>
      </c>
      <c r="H26" s="127">
        <v>24</v>
      </c>
      <c r="I26" s="127" t="str">
        <f t="shared" ref="I26:I40" si="20">IF(H26&gt;=75,"A",IF(H26&gt;=65,"B",IF(H26&gt;=50,"C",IF(H26&gt;=36,"S","W"))))</f>
        <v>W</v>
      </c>
      <c r="J26" s="127">
        <v>35</v>
      </c>
      <c r="K26" s="127" t="str">
        <f t="shared" si="19"/>
        <v>W</v>
      </c>
      <c r="L26" s="127">
        <v>46</v>
      </c>
      <c r="M26" s="127" t="str">
        <f>IF(L26&gt;=75,"A",IF(L26&gt;=65,"B",IF(L26&gt;=50,"C",IF(L26&gt;=36,"S","W"))))</f>
        <v>S</v>
      </c>
      <c r="N26" s="127"/>
      <c r="O26" s="128" t="str">
        <f t="shared" si="4"/>
        <v>W</v>
      </c>
      <c r="P26" s="129"/>
      <c r="Q26" s="129" t="str">
        <f t="shared" si="5"/>
        <v>W</v>
      </c>
      <c r="R26" s="129"/>
      <c r="S26" s="129"/>
      <c r="T26" s="137"/>
      <c r="U26" s="138"/>
      <c r="V26" s="129"/>
      <c r="W26" s="129"/>
      <c r="X26" s="132"/>
      <c r="Y26" s="132"/>
      <c r="Z26" s="132"/>
      <c r="AA26" s="132"/>
      <c r="AB26" s="132">
        <v>48</v>
      </c>
      <c r="AC26" s="132" t="str">
        <f>IF(AB26&gt;=75,"A",IF(AB26&gt;=65,"B",IF(AB26&gt;=50,"C",IF(AB26&gt;=36,"S","W"))))</f>
        <v>S</v>
      </c>
      <c r="AD26" s="133">
        <v>69</v>
      </c>
      <c r="AE26" s="133" t="str">
        <f>IF(AD26&gt;=75,"A",IF(AD26&gt;=65,"B",IF(AD26&gt;=50,"C",IF(AD26&gt;=36,"S","W"))))</f>
        <v>B</v>
      </c>
      <c r="AF26" s="133"/>
      <c r="AG26" s="133"/>
      <c r="AH26" s="133"/>
      <c r="AI26" s="133"/>
      <c r="AJ26" s="133"/>
      <c r="AK26" s="133"/>
      <c r="AL26" s="134">
        <f t="shared" si="7"/>
        <v>222</v>
      </c>
      <c r="AM26" s="135">
        <f t="shared" si="8"/>
        <v>44.4</v>
      </c>
      <c r="AN26" s="134">
        <f t="shared" si="9"/>
        <v>16</v>
      </c>
      <c r="AO26" s="36">
        <f t="shared" si="10"/>
        <v>0</v>
      </c>
      <c r="AP26" s="36">
        <f t="shared" si="11"/>
        <v>1</v>
      </c>
      <c r="AQ26" s="36">
        <f t="shared" si="12"/>
        <v>0</v>
      </c>
      <c r="AR26" s="36">
        <f t="shared" si="13"/>
        <v>2</v>
      </c>
      <c r="AS26" s="136">
        <f t="shared" si="14"/>
        <v>6</v>
      </c>
      <c r="AT26" s="37">
        <f t="shared" si="15"/>
        <v>0</v>
      </c>
    </row>
    <row r="27" s="112" customFormat="1" ht="13.5" customHeight="1" spans="1:49">
      <c r="A27" s="24">
        <v>20</v>
      </c>
      <c r="B27" s="125" t="s">
        <v>494</v>
      </c>
      <c r="C27" s="126" t="s">
        <v>474</v>
      </c>
      <c r="D27" s="127"/>
      <c r="E27" s="127" t="str">
        <f t="shared" si="0"/>
        <v>W</v>
      </c>
      <c r="F27" s="127"/>
      <c r="G27" s="127" t="str">
        <f t="shared" si="1"/>
        <v>W</v>
      </c>
      <c r="H27" s="127">
        <v>9</v>
      </c>
      <c r="I27" s="127" t="str">
        <f t="shared" si="20"/>
        <v>W</v>
      </c>
      <c r="J27" s="127">
        <v>23</v>
      </c>
      <c r="K27" s="127" t="str">
        <f t="shared" si="19"/>
        <v>W</v>
      </c>
      <c r="L27" s="127" t="s">
        <v>29</v>
      </c>
      <c r="M27" s="127" t="s">
        <v>29</v>
      </c>
      <c r="N27" s="127"/>
      <c r="O27" s="128" t="str">
        <f t="shared" si="4"/>
        <v>W</v>
      </c>
      <c r="P27" s="129"/>
      <c r="Q27" s="129" t="str">
        <f t="shared" si="5"/>
        <v>W</v>
      </c>
      <c r="R27" s="129"/>
      <c r="S27" s="129"/>
      <c r="T27" s="137"/>
      <c r="U27" s="138"/>
      <c r="V27" s="129"/>
      <c r="W27" s="129"/>
      <c r="X27" s="132">
        <v>36</v>
      </c>
      <c r="Y27" s="132" t="str">
        <f>IF(X27&gt;=75,"A",IF(X27&gt;=65,"B",IF(X27&gt;=50,"C",IF(X27&gt;=36,"S","W"))))</f>
        <v>S</v>
      </c>
      <c r="Z27" s="132"/>
      <c r="AA27" s="132"/>
      <c r="AB27" s="132"/>
      <c r="AC27" s="132"/>
      <c r="AD27" s="133">
        <v>46</v>
      </c>
      <c r="AE27" s="133" t="str">
        <f>IF(AD27&gt;=75,"A",IF(AD27&gt;=65,"B",IF(AD27&gt;=50,"C",IF(AD27&gt;=36,"S","W"))))</f>
        <v>S</v>
      </c>
      <c r="AF27" s="133"/>
      <c r="AG27" s="133"/>
      <c r="AH27" s="133"/>
      <c r="AI27" s="133"/>
      <c r="AJ27" s="133"/>
      <c r="AK27" s="133"/>
      <c r="AL27" s="134">
        <f t="shared" si="7"/>
        <v>114</v>
      </c>
      <c r="AM27" s="135">
        <f t="shared" si="8"/>
        <v>28.5</v>
      </c>
      <c r="AN27" s="134">
        <f t="shared" si="9"/>
        <v>26</v>
      </c>
      <c r="AO27" s="36">
        <f t="shared" si="10"/>
        <v>0</v>
      </c>
      <c r="AP27" s="36">
        <f t="shared" si="11"/>
        <v>0</v>
      </c>
      <c r="AQ27" s="36">
        <f t="shared" si="12"/>
        <v>0</v>
      </c>
      <c r="AR27" s="36">
        <f t="shared" si="13"/>
        <v>2</v>
      </c>
      <c r="AS27" s="136">
        <f t="shared" si="14"/>
        <v>6</v>
      </c>
      <c r="AT27" s="37">
        <f t="shared" si="15"/>
        <v>1</v>
      </c>
    </row>
    <row r="28" s="112" customFormat="1" ht="13.5" customHeight="1" spans="1:49">
      <c r="A28" s="124">
        <v>22</v>
      </c>
      <c r="B28" s="125" t="s">
        <v>495</v>
      </c>
      <c r="C28" s="126" t="s">
        <v>474</v>
      </c>
      <c r="D28" s="127"/>
      <c r="E28" s="127" t="str">
        <f t="shared" si="0"/>
        <v>W</v>
      </c>
      <c r="F28" s="127"/>
      <c r="G28" s="127" t="str">
        <f t="shared" si="1"/>
        <v>W</v>
      </c>
      <c r="H28" s="127">
        <v>88</v>
      </c>
      <c r="I28" s="127" t="str">
        <f t="shared" si="20"/>
        <v>A</v>
      </c>
      <c r="J28" s="127">
        <v>48</v>
      </c>
      <c r="K28" s="127" t="str">
        <f t="shared" si="19"/>
        <v>S</v>
      </c>
      <c r="L28" s="127">
        <v>33</v>
      </c>
      <c r="M28" s="127" t="str">
        <f>IF(L28&gt;=75,"A",IF(L28&gt;=65,"B",IF(L28&gt;=50,"C",IF(L28&gt;=36,"S","W"))))</f>
        <v>W</v>
      </c>
      <c r="N28" s="127"/>
      <c r="O28" s="128" t="str">
        <f t="shared" si="4"/>
        <v>W</v>
      </c>
      <c r="P28" s="129"/>
      <c r="Q28" s="129" t="str">
        <f t="shared" si="5"/>
        <v>W</v>
      </c>
      <c r="R28" s="129">
        <v>72</v>
      </c>
      <c r="S28" s="129" t="str">
        <f>IF(R28&gt;=75,"A",IF(R28&gt;=65,"B",IF(R28&gt;=50,"C",IF(R28&gt;=36,"S","W"))))</f>
        <v>B</v>
      </c>
      <c r="T28" s="137"/>
      <c r="U28" s="138"/>
      <c r="V28" s="129"/>
      <c r="W28" s="129"/>
      <c r="X28" s="132"/>
      <c r="Y28" s="132"/>
      <c r="Z28" s="132">
        <v>80</v>
      </c>
      <c r="AA28" s="132" t="str">
        <f>IF(Z28&gt;=75,"A",IF(Z28&gt;=65,"B",IF(Z28&gt;=50,"C",IF(Z28&gt;=36,"S","W"))))</f>
        <v>A</v>
      </c>
      <c r="AB28" s="132"/>
      <c r="AC28" s="132"/>
      <c r="AD28" s="133"/>
      <c r="AE28" s="133"/>
      <c r="AF28" s="133"/>
      <c r="AG28" s="133"/>
      <c r="AH28" s="133">
        <v>62</v>
      </c>
      <c r="AI28" s="133" t="str">
        <f>IF(AH28&gt;=75,"A",IF(AH28&gt;=65,"B",IF(AH28&gt;=50,"C",IF(AH28&gt;=36,"S","W"))))</f>
        <v>C</v>
      </c>
      <c r="AJ28" s="133"/>
      <c r="AK28" s="133"/>
      <c r="AL28" s="134">
        <f t="shared" si="7"/>
        <v>321</v>
      </c>
      <c r="AM28" s="135">
        <f t="shared" si="8"/>
        <v>64.2</v>
      </c>
      <c r="AN28" s="134">
        <f t="shared" si="9"/>
        <v>3</v>
      </c>
      <c r="AO28" s="36">
        <f t="shared" si="10"/>
        <v>2</v>
      </c>
      <c r="AP28" s="36">
        <f t="shared" si="11"/>
        <v>1</v>
      </c>
      <c r="AQ28" s="36">
        <f t="shared" si="12"/>
        <v>1</v>
      </c>
      <c r="AR28" s="36">
        <f t="shared" si="13"/>
        <v>1</v>
      </c>
      <c r="AS28" s="136">
        <f t="shared" si="14"/>
        <v>5</v>
      </c>
      <c r="AT28" s="37">
        <f t="shared" si="15"/>
        <v>0</v>
      </c>
    </row>
    <row r="29" s="112" customFormat="1" ht="13.5" customHeight="1" spans="1:49">
      <c r="A29" s="24">
        <v>23</v>
      </c>
      <c r="B29" s="125" t="s">
        <v>496</v>
      </c>
      <c r="C29" s="126" t="s">
        <v>474</v>
      </c>
      <c r="D29" s="127"/>
      <c r="E29" s="127" t="str">
        <f t="shared" si="0"/>
        <v>W</v>
      </c>
      <c r="F29" s="127"/>
      <c r="G29" s="127" t="str">
        <f t="shared" si="1"/>
        <v>W</v>
      </c>
      <c r="H29" s="127">
        <v>45</v>
      </c>
      <c r="I29" s="127" t="str">
        <f t="shared" si="20"/>
        <v>S</v>
      </c>
      <c r="J29" s="127">
        <v>33</v>
      </c>
      <c r="K29" s="127" t="str">
        <f t="shared" si="19"/>
        <v>W</v>
      </c>
      <c r="L29" s="127">
        <v>28</v>
      </c>
      <c r="M29" s="127" t="str">
        <f>IF(L29&gt;=75,"A",IF(L29&gt;=65,"B",IF(L29&gt;=50,"C",IF(L29&gt;=36,"S","W"))))</f>
        <v>W</v>
      </c>
      <c r="N29" s="127"/>
      <c r="O29" s="128" t="str">
        <f t="shared" si="4"/>
        <v>W</v>
      </c>
      <c r="P29" s="129"/>
      <c r="Q29" s="129" t="str">
        <f t="shared" si="5"/>
        <v>W</v>
      </c>
      <c r="R29" s="129"/>
      <c r="S29" s="129"/>
      <c r="T29" s="137"/>
      <c r="U29" s="138"/>
      <c r="V29" s="129"/>
      <c r="W29" s="129"/>
      <c r="X29" s="132"/>
      <c r="Y29" s="132"/>
      <c r="Z29" s="132"/>
      <c r="AA29" s="132"/>
      <c r="AB29" s="132">
        <v>63</v>
      </c>
      <c r="AC29" s="132" t="str">
        <f>IF(AB29&gt;=75,"A",IF(AB29&gt;=65,"B",IF(AB29&gt;=50,"C",IF(AB29&gt;=36,"S","W"))))</f>
        <v>C</v>
      </c>
      <c r="AD29" s="133">
        <v>70</v>
      </c>
      <c r="AE29" s="133" t="str">
        <f>IF(AD29&gt;=75,"A",IF(AD29&gt;=65,"B",IF(AD29&gt;=50,"C",IF(AD29&gt;=36,"S","W"))))</f>
        <v>B</v>
      </c>
      <c r="AF29" s="133"/>
      <c r="AG29" s="133"/>
      <c r="AH29" s="133"/>
      <c r="AI29" s="133"/>
      <c r="AJ29" s="133"/>
      <c r="AK29" s="133"/>
      <c r="AL29" s="134">
        <f t="shared" si="7"/>
        <v>239</v>
      </c>
      <c r="AM29" s="135">
        <f t="shared" si="8"/>
        <v>47.8</v>
      </c>
      <c r="AN29" s="134">
        <f t="shared" si="9"/>
        <v>12</v>
      </c>
      <c r="AO29" s="36">
        <f t="shared" si="10"/>
        <v>0</v>
      </c>
      <c r="AP29" s="36">
        <f t="shared" si="11"/>
        <v>1</v>
      </c>
      <c r="AQ29" s="36">
        <f t="shared" si="12"/>
        <v>1</v>
      </c>
      <c r="AR29" s="36">
        <f t="shared" si="13"/>
        <v>1</v>
      </c>
      <c r="AS29" s="136">
        <f t="shared" si="14"/>
        <v>6</v>
      </c>
      <c r="AT29" s="37">
        <f t="shared" si="15"/>
        <v>0</v>
      </c>
    </row>
    <row r="30" s="112" customFormat="1" ht="13.5" customHeight="1" spans="1:49">
      <c r="A30" s="24">
        <v>24</v>
      </c>
      <c r="B30" s="125" t="s">
        <v>497</v>
      </c>
      <c r="C30" s="126" t="s">
        <v>474</v>
      </c>
      <c r="D30" s="127"/>
      <c r="E30" s="127" t="str">
        <f t="shared" si="0"/>
        <v>W</v>
      </c>
      <c r="F30" s="127"/>
      <c r="G30" s="127" t="str">
        <f t="shared" si="1"/>
        <v>W</v>
      </c>
      <c r="H30" s="127">
        <v>85</v>
      </c>
      <c r="I30" s="127" t="str">
        <f t="shared" si="20"/>
        <v>A</v>
      </c>
      <c r="J30" s="127">
        <v>49</v>
      </c>
      <c r="K30" s="127" t="str">
        <f t="shared" si="19"/>
        <v>S</v>
      </c>
      <c r="L30" s="127" t="s">
        <v>29</v>
      </c>
      <c r="M30" s="127" t="s">
        <v>29</v>
      </c>
      <c r="N30" s="127"/>
      <c r="O30" s="128" t="str">
        <f t="shared" si="4"/>
        <v>W</v>
      </c>
      <c r="P30" s="129"/>
      <c r="Q30" s="129" t="str">
        <f t="shared" si="5"/>
        <v>W</v>
      </c>
      <c r="R30" s="129"/>
      <c r="S30" s="129"/>
      <c r="T30" s="137"/>
      <c r="U30" s="138"/>
      <c r="V30" s="129"/>
      <c r="W30" s="129"/>
      <c r="X30" s="132"/>
      <c r="Y30" s="132"/>
      <c r="Z30" s="132"/>
      <c r="AA30" s="132"/>
      <c r="AB30" s="132">
        <v>90</v>
      </c>
      <c r="AC30" s="132" t="str">
        <f>IF(AB30&gt;=75,"A",IF(AB30&gt;=65,"B",IF(AB30&gt;=50,"C",IF(AB30&gt;=36,"S","W"))))</f>
        <v>A</v>
      </c>
      <c r="AD30" s="133">
        <v>80</v>
      </c>
      <c r="AE30" s="133" t="str">
        <f>IF(AD30&gt;=75,"A",IF(AD30&gt;=65,"B",IF(AD30&gt;=50,"C",IF(AD30&gt;=36,"S","W"))))</f>
        <v>A</v>
      </c>
      <c r="AF30" s="133"/>
      <c r="AG30" s="133"/>
      <c r="AH30" s="133"/>
      <c r="AI30" s="133"/>
      <c r="AJ30" s="133"/>
      <c r="AK30" s="133"/>
      <c r="AL30" s="134">
        <f t="shared" si="7"/>
        <v>304</v>
      </c>
      <c r="AM30" s="135">
        <f t="shared" si="8"/>
        <v>76</v>
      </c>
      <c r="AN30" s="134">
        <f t="shared" si="9"/>
        <v>6</v>
      </c>
      <c r="AO30" s="36">
        <f t="shared" si="10"/>
        <v>3</v>
      </c>
      <c r="AP30" s="36">
        <f t="shared" si="11"/>
        <v>0</v>
      </c>
      <c r="AQ30" s="36">
        <f t="shared" si="12"/>
        <v>0</v>
      </c>
      <c r="AR30" s="36">
        <f t="shared" si="13"/>
        <v>1</v>
      </c>
      <c r="AS30" s="136">
        <f t="shared" si="14"/>
        <v>4</v>
      </c>
      <c r="AT30" s="37">
        <f t="shared" si="15"/>
        <v>1</v>
      </c>
    </row>
    <row r="31" s="112" customFormat="1" ht="13.5" customHeight="1" spans="1:49">
      <c r="A31" s="124">
        <v>25</v>
      </c>
      <c r="B31" s="125" t="s">
        <v>498</v>
      </c>
      <c r="C31" s="126" t="s">
        <v>474</v>
      </c>
      <c r="D31" s="127"/>
      <c r="E31" s="127" t="str">
        <f t="shared" si="0"/>
        <v>W</v>
      </c>
      <c r="F31" s="127"/>
      <c r="G31" s="127" t="str">
        <f t="shared" si="1"/>
        <v>W</v>
      </c>
      <c r="H31" s="127">
        <v>59</v>
      </c>
      <c r="I31" s="127" t="str">
        <f t="shared" si="20"/>
        <v>C</v>
      </c>
      <c r="J31" s="127">
        <v>39</v>
      </c>
      <c r="K31" s="127" t="str">
        <f t="shared" si="19"/>
        <v>S</v>
      </c>
      <c r="L31" s="127">
        <v>24</v>
      </c>
      <c r="M31" s="127" t="str">
        <f t="shared" ref="M31:M41" si="21">IF(L31&gt;=75,"A",IF(L31&gt;=65,"B",IF(L31&gt;=50,"C",IF(L31&gt;=36,"S","W"))))</f>
        <v>W</v>
      </c>
      <c r="N31" s="127"/>
      <c r="O31" s="128" t="str">
        <f t="shared" si="4"/>
        <v>W</v>
      </c>
      <c r="P31" s="129"/>
      <c r="Q31" s="129" t="str">
        <f t="shared" si="5"/>
        <v>W</v>
      </c>
      <c r="R31" s="129"/>
      <c r="S31" s="129"/>
      <c r="T31" s="137"/>
      <c r="U31" s="138"/>
      <c r="V31" s="129"/>
      <c r="W31" s="129"/>
      <c r="X31" s="132"/>
      <c r="Y31" s="132"/>
      <c r="Z31" s="132">
        <v>60</v>
      </c>
      <c r="AA31" s="132" t="str">
        <f>IF(Z31&gt;=75,"A",IF(Z31&gt;=65,"B",IF(Z31&gt;=50,"C",IF(Z31&gt;=36,"S","W"))))</f>
        <v>C</v>
      </c>
      <c r="AB31" s="132"/>
      <c r="AC31" s="132"/>
      <c r="AD31" s="133">
        <v>81</v>
      </c>
      <c r="AE31" s="133" t="str">
        <f>IF(AD31&gt;=75,"A",IF(AD31&gt;=65,"B",IF(AD31&gt;=50,"C",IF(AD31&gt;=36,"S","W"))))</f>
        <v>A</v>
      </c>
      <c r="AF31" s="133"/>
      <c r="AG31" s="133"/>
      <c r="AH31" s="133"/>
      <c r="AI31" s="133"/>
      <c r="AJ31" s="133"/>
      <c r="AK31" s="133"/>
      <c r="AL31" s="134">
        <f t="shared" si="7"/>
        <v>263</v>
      </c>
      <c r="AM31" s="135">
        <f t="shared" si="8"/>
        <v>52.6</v>
      </c>
      <c r="AN31" s="134">
        <f t="shared" si="9"/>
        <v>9</v>
      </c>
      <c r="AO31" s="36">
        <f t="shared" si="10"/>
        <v>1</v>
      </c>
      <c r="AP31" s="36">
        <f t="shared" si="11"/>
        <v>0</v>
      </c>
      <c r="AQ31" s="36">
        <f t="shared" si="12"/>
        <v>2</v>
      </c>
      <c r="AR31" s="36">
        <f t="shared" si="13"/>
        <v>1</v>
      </c>
      <c r="AS31" s="136">
        <f t="shared" si="14"/>
        <v>5</v>
      </c>
      <c r="AT31" s="37">
        <f t="shared" si="15"/>
        <v>0</v>
      </c>
    </row>
    <row r="32" s="112" customFormat="1" ht="13.5" customHeight="1" spans="1:49">
      <c r="A32" s="24">
        <v>26</v>
      </c>
      <c r="B32" s="125" t="s">
        <v>499</v>
      </c>
      <c r="C32" s="126" t="s">
        <v>474</v>
      </c>
      <c r="D32" s="127"/>
      <c r="E32" s="127" t="str">
        <f t="shared" si="0"/>
        <v>W</v>
      </c>
      <c r="F32" s="127"/>
      <c r="G32" s="127" t="str">
        <f t="shared" si="1"/>
        <v>W</v>
      </c>
      <c r="H32" s="127">
        <v>49</v>
      </c>
      <c r="I32" s="127" t="str">
        <f t="shared" si="20"/>
        <v>S</v>
      </c>
      <c r="J32" s="127">
        <v>17</v>
      </c>
      <c r="K32" s="127" t="str">
        <f t="shared" si="19"/>
        <v>W</v>
      </c>
      <c r="L32" s="127">
        <v>20</v>
      </c>
      <c r="M32" s="127" t="str">
        <f t="shared" si="21"/>
        <v>W</v>
      </c>
      <c r="N32" s="127"/>
      <c r="O32" s="128" t="str">
        <f t="shared" si="4"/>
        <v>W</v>
      </c>
      <c r="P32" s="129"/>
      <c r="Q32" s="129" t="str">
        <f t="shared" si="5"/>
        <v>W</v>
      </c>
      <c r="R32" s="129"/>
      <c r="S32" s="129"/>
      <c r="T32" s="137"/>
      <c r="U32" s="138"/>
      <c r="V32" s="129"/>
      <c r="W32" s="129"/>
      <c r="X32" s="132"/>
      <c r="Y32" s="132"/>
      <c r="Z32" s="132"/>
      <c r="AA32" s="132"/>
      <c r="AB32" s="132">
        <v>56</v>
      </c>
      <c r="AC32" s="132" t="str">
        <f>IF(AB32&gt;=75,"A",IF(AB32&gt;=65,"B",IF(AB32&gt;=50,"C",IF(AB32&gt;=36,"S","W"))))</f>
        <v>C</v>
      </c>
      <c r="AD32" s="133">
        <v>84</v>
      </c>
      <c r="AE32" s="133" t="str">
        <f>IF(AD32&gt;=75,"A",IF(AD32&gt;=65,"B",IF(AD32&gt;=50,"C",IF(AD32&gt;=36,"S","W"))))</f>
        <v>A</v>
      </c>
      <c r="AF32" s="133"/>
      <c r="AG32" s="133"/>
      <c r="AH32" s="133"/>
      <c r="AI32" s="133"/>
      <c r="AJ32" s="133"/>
      <c r="AK32" s="133"/>
      <c r="AL32" s="134">
        <f t="shared" si="7"/>
        <v>226</v>
      </c>
      <c r="AM32" s="135">
        <f t="shared" si="8"/>
        <v>45.2</v>
      </c>
      <c r="AN32" s="134">
        <f t="shared" si="9"/>
        <v>15</v>
      </c>
      <c r="AO32" s="36">
        <f t="shared" si="10"/>
        <v>1</v>
      </c>
      <c r="AP32" s="36">
        <f t="shared" si="11"/>
        <v>0</v>
      </c>
      <c r="AQ32" s="36">
        <f t="shared" si="12"/>
        <v>1</v>
      </c>
      <c r="AR32" s="36">
        <f t="shared" si="13"/>
        <v>1</v>
      </c>
      <c r="AS32" s="136">
        <f t="shared" si="14"/>
        <v>6</v>
      </c>
      <c r="AT32" s="37">
        <f t="shared" si="15"/>
        <v>0</v>
      </c>
    </row>
    <row r="33" s="112" customFormat="1" ht="13.5" customHeight="1" spans="1:46">
      <c r="A33" s="24">
        <v>27</v>
      </c>
      <c r="B33" s="125" t="s">
        <v>500</v>
      </c>
      <c r="C33" s="126" t="s">
        <v>474</v>
      </c>
      <c r="D33" s="127"/>
      <c r="E33" s="127" t="str">
        <f t="shared" si="0"/>
        <v>W</v>
      </c>
      <c r="F33" s="127"/>
      <c r="G33" s="127" t="str">
        <f t="shared" si="1"/>
        <v>W</v>
      </c>
      <c r="H33" s="127">
        <v>83</v>
      </c>
      <c r="I33" s="127" t="str">
        <f t="shared" si="20"/>
        <v>A</v>
      </c>
      <c r="J33" s="127">
        <v>35</v>
      </c>
      <c r="K33" s="127" t="str">
        <f t="shared" si="19"/>
        <v>W</v>
      </c>
      <c r="L33" s="127">
        <v>40</v>
      </c>
      <c r="M33" s="127" t="str">
        <f t="shared" si="21"/>
        <v>S</v>
      </c>
      <c r="N33" s="127"/>
      <c r="O33" s="128" t="str">
        <f t="shared" si="4"/>
        <v>W</v>
      </c>
      <c r="P33" s="129"/>
      <c r="Q33" s="129" t="str">
        <f t="shared" si="5"/>
        <v>W</v>
      </c>
      <c r="R33" s="129"/>
      <c r="S33" s="129"/>
      <c r="T33" s="137"/>
      <c r="U33" s="138"/>
      <c r="V33" s="129"/>
      <c r="W33" s="129"/>
      <c r="X33" s="132"/>
      <c r="Y33" s="132"/>
      <c r="Z33" s="132"/>
      <c r="AA33" s="132"/>
      <c r="AB33" s="132"/>
      <c r="AC33" s="132"/>
      <c r="AD33" s="133" t="s">
        <v>29</v>
      </c>
      <c r="AE33" s="133" t="s">
        <v>29</v>
      </c>
      <c r="AF33" s="133"/>
      <c r="AG33" s="133"/>
      <c r="AH33" s="133"/>
      <c r="AI33" s="133"/>
      <c r="AJ33" s="133"/>
      <c r="AK33" s="133"/>
      <c r="AL33" s="134">
        <f t="shared" si="7"/>
        <v>158</v>
      </c>
      <c r="AM33" s="135">
        <f t="shared" si="8"/>
        <v>52.6666666666667</v>
      </c>
      <c r="AN33" s="134">
        <f t="shared" si="9"/>
        <v>22</v>
      </c>
      <c r="AO33" s="36">
        <f t="shared" si="10"/>
        <v>1</v>
      </c>
      <c r="AP33" s="36">
        <f t="shared" si="11"/>
        <v>0</v>
      </c>
      <c r="AQ33" s="36">
        <f t="shared" si="12"/>
        <v>0</v>
      </c>
      <c r="AR33" s="36">
        <f t="shared" si="13"/>
        <v>1</v>
      </c>
      <c r="AS33" s="136">
        <f t="shared" si="14"/>
        <v>5</v>
      </c>
      <c r="AT33" s="37">
        <f t="shared" si="15"/>
        <v>1</v>
      </c>
    </row>
    <row r="34" s="112" customFormat="1" ht="13.5" customHeight="1" spans="1:46">
      <c r="A34" s="124">
        <v>28</v>
      </c>
      <c r="B34" s="125" t="s">
        <v>501</v>
      </c>
      <c r="C34" s="126" t="s">
        <v>474</v>
      </c>
      <c r="D34" s="127"/>
      <c r="E34" s="127" t="str">
        <f t="shared" si="0"/>
        <v>W</v>
      </c>
      <c r="F34" s="127"/>
      <c r="G34" s="127" t="str">
        <f t="shared" si="1"/>
        <v>W</v>
      </c>
      <c r="H34" s="127">
        <v>55</v>
      </c>
      <c r="I34" s="127" t="str">
        <f t="shared" si="20"/>
        <v>C</v>
      </c>
      <c r="J34" s="127">
        <v>38</v>
      </c>
      <c r="K34" s="127" t="str">
        <f t="shared" si="19"/>
        <v>S</v>
      </c>
      <c r="L34" s="127">
        <v>24</v>
      </c>
      <c r="M34" s="127" t="str">
        <f t="shared" si="21"/>
        <v>W</v>
      </c>
      <c r="N34" s="127"/>
      <c r="O34" s="128" t="str">
        <f t="shared" si="4"/>
        <v>W</v>
      </c>
      <c r="P34" s="129"/>
      <c r="Q34" s="129" t="str">
        <f t="shared" si="5"/>
        <v>W</v>
      </c>
      <c r="R34" s="129"/>
      <c r="S34" s="129"/>
      <c r="T34" s="137"/>
      <c r="U34" s="138"/>
      <c r="V34" s="129"/>
      <c r="W34" s="129"/>
      <c r="X34" s="132"/>
      <c r="Y34" s="132"/>
      <c r="Z34" s="132"/>
      <c r="AA34" s="132"/>
      <c r="AB34" s="132">
        <v>48</v>
      </c>
      <c r="AC34" s="132" t="str">
        <f>IF(AB34&gt;=75,"A",IF(AB34&gt;=65,"B",IF(AB34&gt;=50,"C",IF(AB34&gt;=36,"S","W"))))</f>
        <v>S</v>
      </c>
      <c r="AD34" s="133"/>
      <c r="AE34" s="133"/>
      <c r="AF34" s="133"/>
      <c r="AG34" s="133"/>
      <c r="AH34" s="133"/>
      <c r="AI34" s="133"/>
      <c r="AJ34" s="133">
        <v>45</v>
      </c>
      <c r="AK34" s="133" t="str">
        <f>IF(AJ34&gt;=75,"A",IF(AJ34&gt;=65,"B",IF(AJ34&gt;=50,"C",IF(AJ34&gt;=36,"S","W"))))</f>
        <v>S</v>
      </c>
      <c r="AL34" s="134">
        <f t="shared" si="7"/>
        <v>165</v>
      </c>
      <c r="AM34" s="135">
        <f t="shared" si="8"/>
        <v>41.25</v>
      </c>
      <c r="AN34" s="134">
        <f t="shared" si="9"/>
        <v>21</v>
      </c>
      <c r="AO34" s="36">
        <f t="shared" si="10"/>
        <v>0</v>
      </c>
      <c r="AP34" s="36">
        <f t="shared" si="11"/>
        <v>0</v>
      </c>
      <c r="AQ34" s="36">
        <f t="shared" si="12"/>
        <v>1</v>
      </c>
      <c r="AR34" s="36">
        <f t="shared" si="13"/>
        <v>3</v>
      </c>
      <c r="AS34" s="136">
        <f t="shared" si="14"/>
        <v>5</v>
      </c>
      <c r="AT34" s="37">
        <f t="shared" si="15"/>
        <v>0</v>
      </c>
    </row>
    <row r="35" s="112" customFormat="1" ht="13.5" customHeight="1" spans="1:46">
      <c r="A35" s="24">
        <v>29</v>
      </c>
      <c r="B35" s="125" t="s">
        <v>502</v>
      </c>
      <c r="C35" s="126" t="s">
        <v>474</v>
      </c>
      <c r="D35" s="127"/>
      <c r="E35" s="127" t="str">
        <f t="shared" si="0"/>
        <v>W</v>
      </c>
      <c r="F35" s="127"/>
      <c r="G35" s="127" t="str">
        <f t="shared" si="1"/>
        <v>W</v>
      </c>
      <c r="H35" s="127">
        <v>71</v>
      </c>
      <c r="I35" s="127" t="str">
        <f t="shared" si="20"/>
        <v>B</v>
      </c>
      <c r="J35" s="127">
        <v>44</v>
      </c>
      <c r="K35" s="127" t="str">
        <f t="shared" si="19"/>
        <v>S</v>
      </c>
      <c r="L35" s="127">
        <v>44</v>
      </c>
      <c r="M35" s="127" t="str">
        <f t="shared" si="21"/>
        <v>S</v>
      </c>
      <c r="N35" s="127"/>
      <c r="O35" s="128" t="str">
        <f t="shared" si="4"/>
        <v>W</v>
      </c>
      <c r="P35" s="129"/>
      <c r="Q35" s="129" t="str">
        <f t="shared" si="5"/>
        <v>W</v>
      </c>
      <c r="R35" s="129"/>
      <c r="S35" s="129"/>
      <c r="T35" s="137"/>
      <c r="U35" s="138"/>
      <c r="V35" s="129"/>
      <c r="W35" s="129"/>
      <c r="X35" s="132"/>
      <c r="Y35" s="132"/>
      <c r="Z35" s="132">
        <v>72</v>
      </c>
      <c r="AA35" s="132" t="str">
        <f t="shared" ref="AA35:AA40" si="22">IF(Z35&gt;=75,"A",IF(Z35&gt;=65,"B",IF(Z35&gt;=50,"C",IF(Z35&gt;=36,"S","W"))))</f>
        <v>B</v>
      </c>
      <c r="AB35" s="132"/>
      <c r="AC35" s="132"/>
      <c r="AD35" s="133">
        <v>82</v>
      </c>
      <c r="AE35" s="133" t="str">
        <f>IF(AD35&gt;=75,"A",IF(AD35&gt;=65,"B",IF(AD35&gt;=50,"C",IF(AD35&gt;=36,"S","W"))))</f>
        <v>A</v>
      </c>
      <c r="AF35" s="133"/>
      <c r="AG35" s="133"/>
      <c r="AH35" s="133"/>
      <c r="AI35" s="133"/>
      <c r="AJ35" s="133"/>
      <c r="AK35" s="133"/>
      <c r="AL35" s="134">
        <f t="shared" si="7"/>
        <v>313</v>
      </c>
      <c r="AM35" s="135">
        <f t="shared" si="8"/>
        <v>62.6</v>
      </c>
      <c r="AN35" s="134">
        <f t="shared" si="9"/>
        <v>5</v>
      </c>
      <c r="AO35" s="36">
        <f t="shared" si="10"/>
        <v>1</v>
      </c>
      <c r="AP35" s="36">
        <f t="shared" si="11"/>
        <v>2</v>
      </c>
      <c r="AQ35" s="36">
        <f t="shared" si="12"/>
        <v>0</v>
      </c>
      <c r="AR35" s="36">
        <f t="shared" si="13"/>
        <v>2</v>
      </c>
      <c r="AS35" s="136">
        <f t="shared" si="14"/>
        <v>4</v>
      </c>
      <c r="AT35" s="37">
        <f t="shared" si="15"/>
        <v>0</v>
      </c>
    </row>
    <row r="36" s="112" customFormat="1" ht="13.5" customHeight="1" spans="1:46">
      <c r="A36" s="24">
        <v>30</v>
      </c>
      <c r="B36" s="125" t="s">
        <v>503</v>
      </c>
      <c r="C36" s="126" t="s">
        <v>474</v>
      </c>
      <c r="D36" s="127"/>
      <c r="E36" s="127" t="str">
        <f t="shared" si="0"/>
        <v>W</v>
      </c>
      <c r="F36" s="127"/>
      <c r="G36" s="127" t="str">
        <f t="shared" si="1"/>
        <v>W</v>
      </c>
      <c r="H36" s="127">
        <v>62</v>
      </c>
      <c r="I36" s="127" t="str">
        <f t="shared" si="20"/>
        <v>C</v>
      </c>
      <c r="J36" s="127">
        <v>25</v>
      </c>
      <c r="K36" s="127" t="str">
        <f t="shared" si="19"/>
        <v>W</v>
      </c>
      <c r="L36" s="127">
        <v>29</v>
      </c>
      <c r="M36" s="127" t="str">
        <f t="shared" si="21"/>
        <v>W</v>
      </c>
      <c r="N36" s="127"/>
      <c r="O36" s="128" t="str">
        <f t="shared" si="4"/>
        <v>W</v>
      </c>
      <c r="P36" s="129"/>
      <c r="Q36" s="129" t="str">
        <f t="shared" si="5"/>
        <v>W</v>
      </c>
      <c r="R36" s="129"/>
      <c r="S36" s="129"/>
      <c r="T36" s="137"/>
      <c r="U36" s="138"/>
      <c r="V36" s="129">
        <v>62</v>
      </c>
      <c r="W36" s="129" t="str">
        <f>IF(V36&gt;=75,"A",IF(V36&gt;=65,"B",IF(V36&gt;=50,"C",IF(V36&gt;=36,"S","W"))))</f>
        <v>C</v>
      </c>
      <c r="X36" s="132"/>
      <c r="Y36" s="132"/>
      <c r="Z36" s="132">
        <v>61</v>
      </c>
      <c r="AA36" s="132" t="str">
        <f t="shared" si="22"/>
        <v>C</v>
      </c>
      <c r="AB36" s="132"/>
      <c r="AC36" s="132"/>
      <c r="AD36" s="133"/>
      <c r="AE36" s="133"/>
      <c r="AF36" s="133"/>
      <c r="AG36" s="133"/>
      <c r="AH36" s="133"/>
      <c r="AI36" s="133"/>
      <c r="AJ36" s="133">
        <v>56</v>
      </c>
      <c r="AK36" s="133" t="str">
        <f>IF(AJ36&gt;=75,"A",IF(AJ36&gt;=65,"B",IF(AJ36&gt;=50,"C",IF(AJ36&gt;=36,"S","W"))))</f>
        <v>C</v>
      </c>
      <c r="AL36" s="134">
        <f t="shared" si="7"/>
        <v>177</v>
      </c>
      <c r="AM36" s="135">
        <f t="shared" si="8"/>
        <v>44.25</v>
      </c>
      <c r="AN36" s="134">
        <f t="shared" si="9"/>
        <v>20</v>
      </c>
      <c r="AO36" s="36">
        <f t="shared" si="10"/>
        <v>0</v>
      </c>
      <c r="AP36" s="36">
        <f t="shared" si="11"/>
        <v>0</v>
      </c>
      <c r="AQ36" s="36">
        <f t="shared" si="12"/>
        <v>4</v>
      </c>
      <c r="AR36" s="36">
        <f t="shared" si="13"/>
        <v>0</v>
      </c>
      <c r="AS36" s="136">
        <f t="shared" si="14"/>
        <v>6</v>
      </c>
      <c r="AT36" s="37">
        <f t="shared" si="15"/>
        <v>0</v>
      </c>
    </row>
    <row r="37" s="112" customFormat="1" ht="13.5" customHeight="1" spans="1:46">
      <c r="A37" s="124">
        <v>31</v>
      </c>
      <c r="B37" s="125" t="s">
        <v>504</v>
      </c>
      <c r="C37" s="126" t="s">
        <v>474</v>
      </c>
      <c r="D37" s="127"/>
      <c r="E37" s="127" t="str">
        <f t="shared" si="0"/>
        <v>W</v>
      </c>
      <c r="F37" s="127"/>
      <c r="G37" s="127" t="str">
        <f t="shared" si="1"/>
        <v>W</v>
      </c>
      <c r="H37" s="127">
        <v>84</v>
      </c>
      <c r="I37" s="127" t="str">
        <f t="shared" si="20"/>
        <v>A</v>
      </c>
      <c r="J37" s="127">
        <v>43</v>
      </c>
      <c r="K37" s="127" t="str">
        <f t="shared" si="19"/>
        <v>S</v>
      </c>
      <c r="L37" s="127">
        <v>37</v>
      </c>
      <c r="M37" s="127" t="str">
        <f t="shared" si="21"/>
        <v>S</v>
      </c>
      <c r="N37" s="127"/>
      <c r="O37" s="128" t="str">
        <f t="shared" si="4"/>
        <v>W</v>
      </c>
      <c r="P37" s="129"/>
      <c r="Q37" s="129" t="str">
        <f t="shared" si="5"/>
        <v>W</v>
      </c>
      <c r="R37" s="129"/>
      <c r="S37" s="129"/>
      <c r="T37" s="137"/>
      <c r="U37" s="138"/>
      <c r="V37" s="129"/>
      <c r="W37" s="129"/>
      <c r="X37" s="132"/>
      <c r="Y37" s="132"/>
      <c r="Z37" s="132">
        <v>80</v>
      </c>
      <c r="AA37" s="132" t="str">
        <f t="shared" si="22"/>
        <v>A</v>
      </c>
      <c r="AB37" s="132"/>
      <c r="AC37" s="132"/>
      <c r="AD37" s="133">
        <v>78</v>
      </c>
      <c r="AE37" s="133" t="str">
        <f>IF(AD37&gt;=75,"A",IF(AD37&gt;=65,"B",IF(AD37&gt;=50,"C",IF(AD37&gt;=36,"S","W"))))</f>
        <v>A</v>
      </c>
      <c r="AF37" s="133"/>
      <c r="AG37" s="133"/>
      <c r="AH37" s="133"/>
      <c r="AI37" s="133"/>
      <c r="AJ37" s="133"/>
      <c r="AK37" s="133"/>
      <c r="AL37" s="134">
        <f t="shared" si="7"/>
        <v>322</v>
      </c>
      <c r="AM37" s="135">
        <f t="shared" si="8"/>
        <v>64.4</v>
      </c>
      <c r="AN37" s="134">
        <f t="shared" si="9"/>
        <v>2</v>
      </c>
      <c r="AO37" s="36">
        <f t="shared" si="10"/>
        <v>3</v>
      </c>
      <c r="AP37" s="36">
        <f t="shared" si="11"/>
        <v>0</v>
      </c>
      <c r="AQ37" s="36">
        <f t="shared" si="12"/>
        <v>0</v>
      </c>
      <c r="AR37" s="36">
        <f t="shared" si="13"/>
        <v>2</v>
      </c>
      <c r="AS37" s="136">
        <f t="shared" si="14"/>
        <v>4</v>
      </c>
      <c r="AT37" s="37">
        <f t="shared" si="15"/>
        <v>0</v>
      </c>
    </row>
    <row r="38" s="112" customFormat="1" ht="13.5" customHeight="1" spans="1:46">
      <c r="A38" s="24">
        <v>32</v>
      </c>
      <c r="B38" s="125" t="s">
        <v>505</v>
      </c>
      <c r="C38" s="126" t="s">
        <v>474</v>
      </c>
      <c r="D38" s="127"/>
      <c r="E38" s="127" t="str">
        <f t="shared" si="0"/>
        <v>W</v>
      </c>
      <c r="F38" s="127"/>
      <c r="G38" s="127" t="str">
        <f t="shared" si="1"/>
        <v>W</v>
      </c>
      <c r="H38" s="127">
        <v>84</v>
      </c>
      <c r="I38" s="127" t="str">
        <f t="shared" si="20"/>
        <v>A</v>
      </c>
      <c r="J38" s="127">
        <v>75</v>
      </c>
      <c r="K38" s="127" t="str">
        <f t="shared" si="19"/>
        <v>A</v>
      </c>
      <c r="L38" s="127">
        <v>40</v>
      </c>
      <c r="M38" s="127" t="str">
        <f t="shared" si="21"/>
        <v>S</v>
      </c>
      <c r="N38" s="127"/>
      <c r="O38" s="128" t="str">
        <f t="shared" si="4"/>
        <v>W</v>
      </c>
      <c r="P38" s="129"/>
      <c r="Q38" s="129" t="str">
        <f t="shared" si="5"/>
        <v>W</v>
      </c>
      <c r="R38" s="129"/>
      <c r="S38" s="129"/>
      <c r="T38" s="137"/>
      <c r="U38" s="138"/>
      <c r="V38" s="129"/>
      <c r="W38" s="129"/>
      <c r="X38" s="132"/>
      <c r="Y38" s="132"/>
      <c r="Z38" s="132">
        <v>88</v>
      </c>
      <c r="AA38" s="132" t="str">
        <f t="shared" si="22"/>
        <v>A</v>
      </c>
      <c r="AB38" s="132"/>
      <c r="AC38" s="132"/>
      <c r="AD38" s="133">
        <v>85</v>
      </c>
      <c r="AE38" s="133" t="str">
        <f>IF(AD38&gt;=75,"A",IF(AD38&gt;=65,"B",IF(AD38&gt;=50,"C",IF(AD38&gt;=36,"S","W"))))</f>
        <v>A</v>
      </c>
      <c r="AF38" s="133"/>
      <c r="AG38" s="133"/>
      <c r="AH38" s="133"/>
      <c r="AI38" s="133"/>
      <c r="AJ38" s="133"/>
      <c r="AK38" s="133"/>
      <c r="AL38" s="134">
        <f t="shared" si="7"/>
        <v>372</v>
      </c>
      <c r="AM38" s="135">
        <f t="shared" si="8"/>
        <v>74.4</v>
      </c>
      <c r="AN38" s="134">
        <f t="shared" si="9"/>
        <v>1</v>
      </c>
      <c r="AO38" s="36">
        <f t="shared" si="10"/>
        <v>4</v>
      </c>
      <c r="AP38" s="36">
        <f t="shared" si="11"/>
        <v>0</v>
      </c>
      <c r="AQ38" s="36">
        <f t="shared" si="12"/>
        <v>0</v>
      </c>
      <c r="AR38" s="36">
        <f t="shared" si="13"/>
        <v>1</v>
      </c>
      <c r="AS38" s="136">
        <f t="shared" si="14"/>
        <v>4</v>
      </c>
      <c r="AT38" s="37">
        <f t="shared" si="15"/>
        <v>0</v>
      </c>
    </row>
    <row r="39" s="112" customFormat="1" ht="13.5" customHeight="1" spans="1:46">
      <c r="A39" s="24">
        <v>33</v>
      </c>
      <c r="B39" s="125" t="s">
        <v>506</v>
      </c>
      <c r="C39" s="126" t="s">
        <v>474</v>
      </c>
      <c r="D39" s="127"/>
      <c r="E39" s="127" t="str">
        <f t="shared" si="0"/>
        <v>W</v>
      </c>
      <c r="F39" s="127"/>
      <c r="G39" s="127" t="str">
        <f t="shared" si="1"/>
        <v>W</v>
      </c>
      <c r="H39" s="127">
        <v>53</v>
      </c>
      <c r="I39" s="127" t="str">
        <f t="shared" si="20"/>
        <v>C</v>
      </c>
      <c r="J39" s="127">
        <v>31</v>
      </c>
      <c r="K39" s="127" t="str">
        <f t="shared" si="19"/>
        <v>W</v>
      </c>
      <c r="L39" s="127">
        <v>30</v>
      </c>
      <c r="M39" s="127" t="str">
        <f t="shared" si="21"/>
        <v>W</v>
      </c>
      <c r="N39" s="127"/>
      <c r="O39" s="128" t="str">
        <f t="shared" si="4"/>
        <v>W</v>
      </c>
      <c r="P39" s="129"/>
      <c r="Q39" s="129" t="str">
        <f t="shared" si="5"/>
        <v>W</v>
      </c>
      <c r="R39" s="129"/>
      <c r="S39" s="129"/>
      <c r="T39" s="137"/>
      <c r="U39" s="138"/>
      <c r="V39" s="129"/>
      <c r="W39" s="129"/>
      <c r="X39" s="132"/>
      <c r="Y39" s="132"/>
      <c r="Z39" s="132">
        <v>65</v>
      </c>
      <c r="AA39" s="132" t="str">
        <f t="shared" si="22"/>
        <v>B</v>
      </c>
      <c r="AB39" s="132"/>
      <c r="AC39" s="132"/>
      <c r="AD39" s="133">
        <v>66</v>
      </c>
      <c r="AE39" s="133" t="str">
        <f>IF(AD39&gt;=75,"A",IF(AD39&gt;=65,"B",IF(AD39&gt;=50,"C",IF(AD39&gt;=36,"S","W"))))</f>
        <v>B</v>
      </c>
      <c r="AF39" s="133"/>
      <c r="AG39" s="133"/>
      <c r="AH39" s="133"/>
      <c r="AI39" s="133"/>
      <c r="AJ39" s="133"/>
      <c r="AK39" s="133"/>
      <c r="AL39" s="134">
        <f t="shared" si="7"/>
        <v>245</v>
      </c>
      <c r="AM39" s="135">
        <f t="shared" si="8"/>
        <v>49</v>
      </c>
      <c r="AN39" s="134">
        <f t="shared" si="9"/>
        <v>11</v>
      </c>
      <c r="AO39" s="36">
        <f t="shared" si="10"/>
        <v>0</v>
      </c>
      <c r="AP39" s="36">
        <f t="shared" si="11"/>
        <v>2</v>
      </c>
      <c r="AQ39" s="36">
        <f t="shared" si="12"/>
        <v>1</v>
      </c>
      <c r="AR39" s="36">
        <f t="shared" si="13"/>
        <v>0</v>
      </c>
      <c r="AS39" s="136">
        <f t="shared" si="14"/>
        <v>6</v>
      </c>
      <c r="AT39" s="37">
        <f t="shared" si="15"/>
        <v>0</v>
      </c>
    </row>
    <row r="40" s="112" customFormat="1" ht="13.5" customHeight="1" spans="1:46">
      <c r="A40" s="124">
        <v>34</v>
      </c>
      <c r="B40" s="125" t="s">
        <v>507</v>
      </c>
      <c r="C40" s="126" t="s">
        <v>474</v>
      </c>
      <c r="D40" s="127"/>
      <c r="E40" s="127" t="str">
        <f t="shared" si="0"/>
        <v>W</v>
      </c>
      <c r="F40" s="127"/>
      <c r="G40" s="127" t="str">
        <f t="shared" si="1"/>
        <v>W</v>
      </c>
      <c r="H40" s="127">
        <v>54</v>
      </c>
      <c r="I40" s="127" t="str">
        <f t="shared" si="20"/>
        <v>C</v>
      </c>
      <c r="J40" s="127">
        <v>35</v>
      </c>
      <c r="K40" s="127" t="str">
        <f t="shared" si="19"/>
        <v>W</v>
      </c>
      <c r="L40" s="127">
        <v>26</v>
      </c>
      <c r="M40" s="127" t="str">
        <f t="shared" si="21"/>
        <v>W</v>
      </c>
      <c r="N40" s="127"/>
      <c r="O40" s="128" t="str">
        <f t="shared" si="4"/>
        <v>W</v>
      </c>
      <c r="P40" s="129"/>
      <c r="Q40" s="129" t="str">
        <f t="shared" si="5"/>
        <v>W</v>
      </c>
      <c r="R40" s="129"/>
      <c r="S40" s="129"/>
      <c r="T40" s="137"/>
      <c r="U40" s="138"/>
      <c r="V40" s="129"/>
      <c r="W40" s="129"/>
      <c r="X40" s="132"/>
      <c r="Y40" s="132"/>
      <c r="Z40" s="132">
        <v>53</v>
      </c>
      <c r="AA40" s="132" t="str">
        <f t="shared" si="22"/>
        <v>C</v>
      </c>
      <c r="AB40" s="132"/>
      <c r="AC40" s="132"/>
      <c r="AD40" s="133">
        <v>65</v>
      </c>
      <c r="AE40" s="133" t="str">
        <f>IF(AD40&gt;=75,"A",IF(AD40&gt;=65,"B",IF(AD40&gt;=50,"C",IF(AD40&gt;=36,"S","W"))))</f>
        <v>B</v>
      </c>
      <c r="AF40" s="133"/>
      <c r="AG40" s="133"/>
      <c r="AH40" s="133"/>
      <c r="AI40" s="133"/>
      <c r="AJ40" s="133"/>
      <c r="AK40" s="133"/>
      <c r="AL40" s="134">
        <f t="shared" si="7"/>
        <v>233</v>
      </c>
      <c r="AM40" s="135">
        <f t="shared" si="8"/>
        <v>46.6</v>
      </c>
      <c r="AN40" s="134">
        <f t="shared" si="9"/>
        <v>14</v>
      </c>
      <c r="AO40" s="36">
        <f t="shared" si="10"/>
        <v>0</v>
      </c>
      <c r="AP40" s="36">
        <f t="shared" si="11"/>
        <v>1</v>
      </c>
      <c r="AQ40" s="36">
        <f t="shared" si="12"/>
        <v>2</v>
      </c>
      <c r="AR40" s="36">
        <f t="shared" si="13"/>
        <v>0</v>
      </c>
      <c r="AS40" s="136">
        <f t="shared" si="14"/>
        <v>6</v>
      </c>
      <c r="AT40" s="37">
        <f t="shared" si="15"/>
        <v>0</v>
      </c>
    </row>
    <row r="41" s="112" customFormat="1" ht="13.5" customHeight="1" spans="1:46">
      <c r="A41" s="24">
        <v>35</v>
      </c>
      <c r="B41" s="125" t="s">
        <v>508</v>
      </c>
      <c r="C41" s="126" t="s">
        <v>474</v>
      </c>
      <c r="D41" s="127"/>
      <c r="E41" s="127" t="str">
        <f t="shared" si="0"/>
        <v>W</v>
      </c>
      <c r="F41" s="127"/>
      <c r="G41" s="127" t="str">
        <f t="shared" si="1"/>
        <v>W</v>
      </c>
      <c r="H41" s="127" t="s">
        <v>29</v>
      </c>
      <c r="I41" s="127" t="s">
        <v>29</v>
      </c>
      <c r="J41" s="127">
        <v>14</v>
      </c>
      <c r="K41" s="127" t="str">
        <f t="shared" si="19"/>
        <v>W</v>
      </c>
      <c r="L41" s="127">
        <v>15</v>
      </c>
      <c r="M41" s="127" t="str">
        <f t="shared" si="21"/>
        <v>W</v>
      </c>
      <c r="N41" s="127"/>
      <c r="O41" s="128" t="str">
        <f t="shared" si="4"/>
        <v>W</v>
      </c>
      <c r="P41" s="129"/>
      <c r="Q41" s="129" t="str">
        <f t="shared" si="5"/>
        <v>W</v>
      </c>
      <c r="R41" s="129"/>
      <c r="S41" s="129"/>
      <c r="T41" s="139"/>
      <c r="U41" s="140"/>
      <c r="V41" s="129"/>
      <c r="W41" s="129"/>
      <c r="X41" s="132">
        <v>35</v>
      </c>
      <c r="Y41" s="132" t="str">
        <f>IF(X41&gt;=75,"A",IF(X41&gt;=65,"B",IF(X41&gt;=50,"C",IF(X41&gt;=36,"S","W"))))</f>
        <v>W</v>
      </c>
      <c r="Z41" s="132"/>
      <c r="AA41" s="132"/>
      <c r="AB41" s="132"/>
      <c r="AC41" s="132"/>
      <c r="AD41" s="133"/>
      <c r="AE41" s="133"/>
      <c r="AF41" s="133"/>
      <c r="AG41" s="133"/>
      <c r="AH41" s="133">
        <v>22</v>
      </c>
      <c r="AI41" s="133" t="str">
        <f>IF(AH41&gt;=75,"A",IF(AH41&gt;=65,"B",IF(AH41&gt;=50,"C",IF(AH41&gt;=36,"S","W"))))</f>
        <v>W</v>
      </c>
      <c r="AJ41" s="133"/>
      <c r="AK41" s="133"/>
      <c r="AL41" s="134">
        <f t="shared" si="7"/>
        <v>64</v>
      </c>
      <c r="AM41" s="135">
        <f t="shared" si="8"/>
        <v>21.3333333333333</v>
      </c>
      <c r="AN41" s="134">
        <f t="shared" si="9"/>
        <v>32</v>
      </c>
      <c r="AO41" s="36">
        <f t="shared" si="10"/>
        <v>0</v>
      </c>
      <c r="AP41" s="36">
        <f t="shared" si="11"/>
        <v>0</v>
      </c>
      <c r="AQ41" s="36">
        <f t="shared" si="12"/>
        <v>0</v>
      </c>
      <c r="AR41" s="36">
        <f t="shared" si="13"/>
        <v>0</v>
      </c>
      <c r="AS41" s="136">
        <f t="shared" si="14"/>
        <v>7</v>
      </c>
      <c r="AT41" s="37">
        <f t="shared" si="15"/>
        <v>1</v>
      </c>
    </row>
    <row r="42" ht="12" customHeight="1" spans="1:46">
      <c r="A42" s="141" t="s">
        <v>62</v>
      </c>
      <c r="B42" s="142"/>
      <c r="C42" s="143"/>
      <c r="D42" s="144"/>
      <c r="E42" s="145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56"/>
      <c r="AI42" s="56"/>
      <c r="AJ42" s="56"/>
      <c r="AK42" s="56"/>
      <c r="AL42" s="56"/>
      <c r="AM42" s="56"/>
      <c r="AN42" s="56"/>
      <c r="AS42" s="59"/>
      <c r="AT42" s="60"/>
    </row>
    <row r="43" ht="12" customHeight="1" spans="1:46">
      <c r="A43" s="141" t="s">
        <v>63</v>
      </c>
      <c r="B43" s="142"/>
      <c r="C43" s="146" t="s">
        <v>24</v>
      </c>
      <c r="D43" s="144"/>
      <c r="E43" s="147">
        <f>COUNTIF($E$8:$E$41,"A")</f>
        <v>0</v>
      </c>
      <c r="F43" s="144"/>
      <c r="G43" s="148">
        <f>COUNTIF(G8:G41,"A")</f>
        <v>0</v>
      </c>
      <c r="H43" s="144"/>
      <c r="I43" s="148">
        <f>COUNTIF(I8:I41,"A")</f>
        <v>6</v>
      </c>
      <c r="J43" s="144"/>
      <c r="K43" s="148">
        <f>COUNTIF(K8:K41,"A")</f>
        <v>1</v>
      </c>
      <c r="L43" s="148"/>
      <c r="M43" s="148">
        <f>COUNTIF(M8:M41,"A")</f>
        <v>0</v>
      </c>
      <c r="N43" s="148"/>
      <c r="O43" s="148">
        <f>COUNTIF(O8:O41,"A")</f>
        <v>0</v>
      </c>
      <c r="P43" s="148"/>
      <c r="Q43" s="148">
        <f>COUNTIF(Q8:Q41,"A")</f>
        <v>0</v>
      </c>
      <c r="R43" s="144"/>
      <c r="S43" s="148">
        <f>COUNTIF(S8:S41,"A")</f>
        <v>0</v>
      </c>
      <c r="T43" s="144"/>
      <c r="U43" s="148">
        <f>COUNTIF(U8:U41,"A")</f>
        <v>0</v>
      </c>
      <c r="V43" s="144"/>
      <c r="W43" s="148">
        <f>COUNTIF(W8:W41,"A")</f>
        <v>0</v>
      </c>
      <c r="X43" s="144"/>
      <c r="Y43" s="148">
        <f>COUNTIF(Y8:Y41,"A")</f>
        <v>0</v>
      </c>
      <c r="Z43" s="144"/>
      <c r="AA43" s="148">
        <f>COUNTIF(AA8:AA41,"A")</f>
        <v>3</v>
      </c>
      <c r="AB43" s="144"/>
      <c r="AC43" s="148">
        <f>COUNTIF(AC8:AC41,"A")</f>
        <v>1</v>
      </c>
      <c r="AD43" s="144"/>
      <c r="AE43" s="148">
        <f>COUNTIF(AE8:AE41,"A")</f>
        <v>10</v>
      </c>
      <c r="AF43" s="144"/>
      <c r="AG43" s="148">
        <f>COUNTIF(AG8:AG41,"A")</f>
        <v>0</v>
      </c>
      <c r="AH43" s="63"/>
      <c r="AI43" s="63">
        <f>COUNTIF($AI$8:$AI$41,"A")</f>
        <v>0</v>
      </c>
      <c r="AJ43" s="63"/>
      <c r="AK43" s="63">
        <f>COUNTIF($AK$8:$AK$41,"A")</f>
        <v>0</v>
      </c>
      <c r="AL43" s="63"/>
      <c r="AM43" s="63"/>
      <c r="AN43" s="63"/>
      <c r="AS43" s="59"/>
      <c r="AT43" s="60"/>
    </row>
    <row r="44" ht="12" customHeight="1" spans="1:46">
      <c r="A44" s="141" t="s">
        <v>64</v>
      </c>
      <c r="B44" s="142"/>
      <c r="C44" s="143" t="s">
        <v>25</v>
      </c>
      <c r="D44" s="144"/>
      <c r="E44" s="147">
        <f>COUNTIF($E$8:$E$41,"B")</f>
        <v>0</v>
      </c>
      <c r="F44" s="144"/>
      <c r="G44" s="148">
        <f>COUNTIF(G8:G41,"B")</f>
        <v>0</v>
      </c>
      <c r="H44" s="144"/>
      <c r="I44" s="148">
        <f>COUNTIF(I8:I41,"B")</f>
        <v>1</v>
      </c>
      <c r="J44" s="144"/>
      <c r="K44" s="148">
        <f>COUNTIF(K8:K41,"B")</f>
        <v>0</v>
      </c>
      <c r="L44" s="144"/>
      <c r="M44" s="148">
        <f>COUNTIF(M8:M41,"B")</f>
        <v>0</v>
      </c>
      <c r="N44" s="144"/>
      <c r="O44" s="148">
        <f>COUNTIF(O8:O41,"B")</f>
        <v>0</v>
      </c>
      <c r="P44" s="144"/>
      <c r="Q44" s="148">
        <f>COUNTIF(Q8:Q41,"B")</f>
        <v>0</v>
      </c>
      <c r="R44" s="144"/>
      <c r="S44" s="148">
        <f>COUNTIF(S8:S41,"B")</f>
        <v>1</v>
      </c>
      <c r="T44" s="144"/>
      <c r="U44" s="148">
        <f>COUNTIF(U8:U41,"B")</f>
        <v>0</v>
      </c>
      <c r="V44" s="144"/>
      <c r="W44" s="148">
        <f>COUNTIF(W8:W41,"B")</f>
        <v>0</v>
      </c>
      <c r="X44" s="144"/>
      <c r="Y44" s="148">
        <f>COUNTIF(Y8:Y41,"B")</f>
        <v>1</v>
      </c>
      <c r="Z44" s="144"/>
      <c r="AA44" s="148">
        <f>COUNTIF(AA8:AA41,"B")</f>
        <v>3</v>
      </c>
      <c r="AB44" s="144"/>
      <c r="AC44" s="148">
        <f>COUNTIF(AC8:AC41,"B")</f>
        <v>0</v>
      </c>
      <c r="AD44" s="144"/>
      <c r="AE44" s="148">
        <f>COUNTIF(AE8:AE41,"B")</f>
        <v>6</v>
      </c>
      <c r="AF44" s="144"/>
      <c r="AG44" s="148">
        <f>COUNTIF(AG8:AG41,"B")</f>
        <v>0</v>
      </c>
      <c r="AH44" s="63"/>
      <c r="AI44" s="63">
        <f>COUNTIF($AI$8:$AI$41,"B")</f>
        <v>0</v>
      </c>
      <c r="AJ44" s="63"/>
      <c r="AK44" s="63">
        <f>COUNTIF($AK$8:$AK$41,"B")</f>
        <v>0</v>
      </c>
      <c r="AL44" s="63"/>
      <c r="AM44" s="63"/>
      <c r="AN44" s="63"/>
    </row>
    <row r="45" ht="12" customHeight="1" spans="1:46">
      <c r="A45" s="141" t="s">
        <v>65</v>
      </c>
      <c r="B45" s="142"/>
      <c r="C45" s="143" t="s">
        <v>26</v>
      </c>
      <c r="D45" s="144"/>
      <c r="E45" s="147">
        <f>COUNTIF($E$8:$E$41,"C")</f>
        <v>0</v>
      </c>
      <c r="F45" s="144"/>
      <c r="G45" s="148">
        <f>COUNTIF(G8:G41,"C")</f>
        <v>0</v>
      </c>
      <c r="H45" s="144"/>
      <c r="I45" s="148">
        <f>COUNTIF(I8:I41,"C")</f>
        <v>6</v>
      </c>
      <c r="J45" s="144"/>
      <c r="K45" s="148">
        <f>COUNTIF(K8:K41,"C")</f>
        <v>0</v>
      </c>
      <c r="L45" s="144"/>
      <c r="M45" s="148">
        <f>COUNTIF(M8:M41,"C")</f>
        <v>2</v>
      </c>
      <c r="N45" s="144"/>
      <c r="O45" s="148">
        <f>COUNTIF(O8:O41,"C")</f>
        <v>0</v>
      </c>
      <c r="P45" s="144"/>
      <c r="Q45" s="148">
        <f>COUNTIF(Q8:Q41,"C")</f>
        <v>0</v>
      </c>
      <c r="R45" s="144"/>
      <c r="S45" s="148">
        <f>COUNTIF(S8:S41,"C")</f>
        <v>0</v>
      </c>
      <c r="T45" s="144"/>
      <c r="U45" s="148">
        <f>COUNTIF(U8:U41,"C")</f>
        <v>0</v>
      </c>
      <c r="V45" s="144"/>
      <c r="W45" s="148">
        <f>COUNTIF(W8:W41,"C")</f>
        <v>1</v>
      </c>
      <c r="X45" s="144"/>
      <c r="Y45" s="148">
        <f>COUNTIF(Y8:Y41,"C")</f>
        <v>0</v>
      </c>
      <c r="Z45" s="144"/>
      <c r="AA45" s="148">
        <f>COUNTIF(AA8:AA41,"C")</f>
        <v>3</v>
      </c>
      <c r="AB45" s="144"/>
      <c r="AC45" s="148">
        <f>COUNTIF(AC8:AC41,"C")</f>
        <v>4</v>
      </c>
      <c r="AD45" s="144"/>
      <c r="AE45" s="148">
        <f>COUNTIF(AE8:AE41,"C")</f>
        <v>4</v>
      </c>
      <c r="AF45" s="144"/>
      <c r="AG45" s="148">
        <f>COUNTIF(AG8:AG41,"C")</f>
        <v>0</v>
      </c>
      <c r="AH45" s="63"/>
      <c r="AI45" s="63">
        <f>COUNTIF($AI$8:$AI$41,"C")</f>
        <v>1</v>
      </c>
      <c r="AJ45" s="63"/>
      <c r="AK45" s="63">
        <f>COUNTIF($AK$8:$AK$41,"C")</f>
        <v>1</v>
      </c>
      <c r="AL45" s="63"/>
      <c r="AM45" s="63"/>
      <c r="AN45" s="63"/>
    </row>
    <row r="46" ht="12" customHeight="1" spans="1:46">
      <c r="A46" s="141" t="s">
        <v>413</v>
      </c>
      <c r="B46" s="142"/>
      <c r="C46" s="143" t="s">
        <v>27</v>
      </c>
      <c r="D46" s="144"/>
      <c r="E46" s="147">
        <f>COUNTIF($E$8:$E$41,"S")</f>
        <v>0</v>
      </c>
      <c r="F46" s="144"/>
      <c r="G46" s="148">
        <f>COUNTIF(G8:G41,"S")</f>
        <v>0</v>
      </c>
      <c r="H46" s="144"/>
      <c r="I46" s="148">
        <f>COUNTIF(I8:I41,"S")</f>
        <v>7</v>
      </c>
      <c r="J46" s="144"/>
      <c r="K46" s="148">
        <f>COUNTIF(K8:K41,"S")</f>
        <v>8</v>
      </c>
      <c r="L46" s="144"/>
      <c r="M46" s="148">
        <f>COUNTIF(M8:M41,"S")</f>
        <v>6</v>
      </c>
      <c r="N46" s="144"/>
      <c r="O46" s="148">
        <f>COUNTIF(O8:O41,"S")</f>
        <v>0</v>
      </c>
      <c r="P46" s="144"/>
      <c r="Q46" s="148">
        <f>COUNTIF(Q8:Q41,"S")</f>
        <v>0</v>
      </c>
      <c r="R46" s="144"/>
      <c r="S46" s="148">
        <f>COUNTIF(S8:S41,"S")</f>
        <v>2</v>
      </c>
      <c r="T46" s="144"/>
      <c r="U46" s="148">
        <f>COUNTIF(U8:U41,"S")</f>
        <v>0</v>
      </c>
      <c r="V46" s="144"/>
      <c r="W46" s="148">
        <f>COUNTIF(W8:W41,"S")</f>
        <v>0</v>
      </c>
      <c r="X46" s="144"/>
      <c r="Y46" s="148">
        <f>COUNTIF(Y8:Y41,"S")</f>
        <v>3</v>
      </c>
      <c r="Z46" s="144"/>
      <c r="AA46" s="148">
        <f>COUNTIF(AA8:AA41,"S")</f>
        <v>0</v>
      </c>
      <c r="AB46" s="144"/>
      <c r="AC46" s="148">
        <f>COUNTIF(AC8:AC41,"S")</f>
        <v>5</v>
      </c>
      <c r="AD46" s="144"/>
      <c r="AE46" s="148">
        <f>COUNTIF(AE8:AE41,"S")</f>
        <v>3</v>
      </c>
      <c r="AF46" s="144"/>
      <c r="AG46" s="148">
        <f>COUNTIF(AG8:AG41,"S")</f>
        <v>0</v>
      </c>
      <c r="AH46" s="63"/>
      <c r="AI46" s="63">
        <f>COUNTIF($AI$8:$AI$41,"S")</f>
        <v>0</v>
      </c>
      <c r="AJ46" s="63"/>
      <c r="AK46" s="63">
        <f>COUNTIF($AK$8:$AK$41,"S")</f>
        <v>1</v>
      </c>
      <c r="AL46" s="63"/>
      <c r="AM46" s="63"/>
      <c r="AN46" s="63"/>
    </row>
    <row r="47" ht="12" customHeight="1" spans="1:46">
      <c r="A47" s="141" t="s">
        <v>414</v>
      </c>
      <c r="B47" s="142"/>
      <c r="C47" s="143" t="s">
        <v>28</v>
      </c>
      <c r="D47" s="144"/>
      <c r="E47" s="147">
        <f>COUNTIF($E$8:$E$41,"W")</f>
        <v>34</v>
      </c>
      <c r="F47" s="144"/>
      <c r="G47" s="148">
        <f>COUNTIF(G8:G41,"W")</f>
        <v>34</v>
      </c>
      <c r="H47" s="144"/>
      <c r="I47" s="148">
        <f>COUNTIF(I8:I41,"W")</f>
        <v>10</v>
      </c>
      <c r="J47" s="144"/>
      <c r="K47" s="148">
        <f>COUNTIF(K8:K41,"W")</f>
        <v>23</v>
      </c>
      <c r="L47" s="144"/>
      <c r="M47" s="148">
        <f>COUNTIF(M8:M41,"W")</f>
        <v>21</v>
      </c>
      <c r="N47" s="144"/>
      <c r="O47" s="148">
        <f>COUNTIF(O8:O41,"W")</f>
        <v>34</v>
      </c>
      <c r="P47" s="144"/>
      <c r="Q47" s="148">
        <f>COUNTIF(Q8:Q41,"W")</f>
        <v>34</v>
      </c>
      <c r="R47" s="144"/>
      <c r="S47" s="148">
        <f>COUNTIF(S8:S41,"W")</f>
        <v>1</v>
      </c>
      <c r="T47" s="144"/>
      <c r="U47" s="148">
        <f>COUNTIF(U8:U41,"W")</f>
        <v>0</v>
      </c>
      <c r="V47" s="144"/>
      <c r="W47" s="148">
        <f>COUNTIF(W8:W41,"W")</f>
        <v>1</v>
      </c>
      <c r="X47" s="144"/>
      <c r="Y47" s="148">
        <f>COUNTIF(Y8:Y41,"W")</f>
        <v>3</v>
      </c>
      <c r="Z47" s="144"/>
      <c r="AA47" s="148">
        <f>COUNTIF(AA8:AA41,"W")</f>
        <v>1</v>
      </c>
      <c r="AB47" s="144"/>
      <c r="AC47" s="148">
        <f>COUNTIF(AC8:AC41,"W")</f>
        <v>3</v>
      </c>
      <c r="AD47" s="144"/>
      <c r="AE47" s="148">
        <f>COUNTIF(AE8:AE41,"W")</f>
        <v>0</v>
      </c>
      <c r="AF47" s="144"/>
      <c r="AG47" s="148">
        <f>COUNTIF(AG8:AG41,"W")</f>
        <v>1</v>
      </c>
      <c r="AH47" s="63"/>
      <c r="AI47" s="63">
        <f>COUNTIF($AI$8:$AI$41,"W")</f>
        <v>3</v>
      </c>
      <c r="AJ47" s="63"/>
      <c r="AK47" s="63">
        <f>COUNTIF($AK$8:$AK$41,"W")</f>
        <v>0</v>
      </c>
      <c r="AL47" s="63"/>
      <c r="AM47" s="63"/>
      <c r="AN47" s="63"/>
    </row>
    <row r="48" ht="12" customHeight="1" spans="1:46">
      <c r="A48" s="141"/>
      <c r="B48" s="142"/>
      <c r="C48" s="143" t="s">
        <v>29</v>
      </c>
      <c r="D48" s="144"/>
      <c r="E48" s="147">
        <f>COUNTIF($E$8:$E$41,"AB")</f>
        <v>0</v>
      </c>
      <c r="F48" s="144"/>
      <c r="G48" s="148">
        <f>COUNTIF(G8:G41,"AB")</f>
        <v>0</v>
      </c>
      <c r="H48" s="144"/>
      <c r="I48" s="148">
        <f>COUNTIF(I8:I41,"AB")</f>
        <v>4</v>
      </c>
      <c r="J48" s="144"/>
      <c r="K48" s="148">
        <f>COUNTIF(K8:K41,"AB")</f>
        <v>2</v>
      </c>
      <c r="L48" s="144"/>
      <c r="M48" s="148">
        <f>COUNTIF(M8:M41,"AB")</f>
        <v>5</v>
      </c>
      <c r="N48" s="144"/>
      <c r="O48" s="148">
        <f>COUNTIF(O8:O41,"AB")</f>
        <v>0</v>
      </c>
      <c r="P48" s="144"/>
      <c r="Q48" s="148">
        <f>COUNTIF(Q8:Q41,"AB")</f>
        <v>0</v>
      </c>
      <c r="R48" s="144"/>
      <c r="S48" s="148">
        <f>COUNTIF(S8:S41,"AB")</f>
        <v>2</v>
      </c>
      <c r="T48" s="144"/>
      <c r="U48" s="148">
        <f>COUNTIF(U8:U41,"AB")</f>
        <v>0</v>
      </c>
      <c r="V48" s="144"/>
      <c r="W48" s="148">
        <f>COUNTIF(W8:W41,"AB")</f>
        <v>0</v>
      </c>
      <c r="X48" s="144"/>
      <c r="Y48" s="148">
        <f>COUNTIF(Y8:Y41,"AB")</f>
        <v>0</v>
      </c>
      <c r="Z48" s="144"/>
      <c r="AA48" s="148">
        <f>COUNTIF(AA8:AA41,"AB")</f>
        <v>0</v>
      </c>
      <c r="AB48" s="144"/>
      <c r="AC48" s="148">
        <f>COUNTIF(AC8:AC41,"AB")</f>
        <v>0</v>
      </c>
      <c r="AD48" s="144"/>
      <c r="AE48" s="148">
        <f>COUNTIF(AE8:AE41,"AB")</f>
        <v>3</v>
      </c>
      <c r="AF48" s="144"/>
      <c r="AG48" s="148">
        <f>COUNTIF(AG8:AG41,"AB")</f>
        <v>0</v>
      </c>
      <c r="AH48" s="63"/>
      <c r="AI48" s="63">
        <f>COUNTIF($AI$8:$AI$41,"AB")</f>
        <v>0</v>
      </c>
      <c r="AJ48" s="63"/>
      <c r="AK48" s="63">
        <f>COUNTIF($AK$8:$AK$41,"AB")</f>
        <v>0</v>
      </c>
      <c r="AL48" s="63"/>
      <c r="AM48" s="63"/>
      <c r="AN48" s="63"/>
    </row>
    <row r="49" ht="12" customHeight="1" spans="1:40">
      <c r="A49" s="149" t="s">
        <v>7</v>
      </c>
      <c r="B49" s="150"/>
      <c r="C49" s="151"/>
      <c r="D49" s="152"/>
      <c r="E49" s="150">
        <f>SUM(E43:E48)</f>
        <v>34</v>
      </c>
      <c r="F49" s="153"/>
      <c r="G49" s="154">
        <f>SUM(G43:G48)</f>
        <v>34</v>
      </c>
      <c r="H49" s="153"/>
      <c r="I49" s="154">
        <f>SUM(I43:I48)</f>
        <v>34</v>
      </c>
      <c r="J49" s="153"/>
      <c r="K49" s="154">
        <f>SUM(K43:K48)</f>
        <v>34</v>
      </c>
      <c r="L49" s="153"/>
      <c r="M49" s="154">
        <f>SUM(M43:M48)</f>
        <v>34</v>
      </c>
      <c r="N49" s="153"/>
      <c r="O49" s="154">
        <f>SUM(O43:O48)</f>
        <v>34</v>
      </c>
      <c r="P49" s="153"/>
      <c r="Q49" s="154">
        <f>SUM(Q43:Q48)</f>
        <v>34</v>
      </c>
      <c r="R49" s="153"/>
      <c r="S49" s="154">
        <f>SUM(S43:S48)</f>
        <v>6</v>
      </c>
      <c r="T49" s="153"/>
      <c r="U49" s="154">
        <f>SUM(U43:U48)</f>
        <v>0</v>
      </c>
      <c r="V49" s="153"/>
      <c r="W49" s="154">
        <f>SUM(W43:W48)</f>
        <v>2</v>
      </c>
      <c r="X49" s="153"/>
      <c r="Y49" s="154">
        <f>SUM(Y43:Y48)</f>
        <v>7</v>
      </c>
      <c r="Z49" s="153"/>
      <c r="AA49" s="154">
        <f>SUM(AA43:AA48)</f>
        <v>10</v>
      </c>
      <c r="AB49" s="153"/>
      <c r="AC49" s="154">
        <f>SUM(AC43:AC48)</f>
        <v>13</v>
      </c>
      <c r="AD49" s="153"/>
      <c r="AE49" s="154">
        <f>SUM(AE43:AE48)</f>
        <v>26</v>
      </c>
      <c r="AF49" s="153"/>
      <c r="AG49" s="154">
        <f>SUM(AG43:AG48)</f>
        <v>1</v>
      </c>
      <c r="AH49" s="69"/>
      <c r="AI49" s="155">
        <f>SUM(AI43:AI48)</f>
        <v>4</v>
      </c>
      <c r="AJ49" s="69"/>
      <c r="AK49" s="69">
        <f>SUM(AK43:AK48)</f>
        <v>2</v>
      </c>
      <c r="AL49" s="156"/>
      <c r="AM49" s="156"/>
      <c r="AN49" s="156"/>
    </row>
    <row r="50" ht="12" customHeight="1" spans="1:40">
      <c r="A50" s="71"/>
      <c r="B50" s="72"/>
      <c r="C50" s="73"/>
      <c r="D50" s="74"/>
      <c r="E50" s="75"/>
      <c r="F50" s="74"/>
      <c r="G50" s="74"/>
      <c r="H50" s="74"/>
      <c r="I50" s="74"/>
      <c r="J50" s="74"/>
      <c r="K50" s="76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38"/>
      <c r="AM50" s="38"/>
      <c r="AN50" s="38"/>
    </row>
    <row r="51" ht="12" customHeight="1" spans="1:40">
      <c r="A51" s="47"/>
      <c r="B51" s="77"/>
      <c r="C51" s="78"/>
      <c r="D51" s="38"/>
      <c r="E51" s="79"/>
      <c r="F51" s="38"/>
      <c r="G51" s="38"/>
      <c r="H51" s="38"/>
      <c r="I51" s="38"/>
      <c r="J51" s="38"/>
      <c r="K51" s="80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</row>
    <row r="52" ht="16.9" customHeight="1"/>
    <row r="53" ht="16.9" customHeight="1"/>
    <row r="54" ht="16.9" customHeight="1"/>
    <row r="55" ht="16.9" customHeight="1"/>
  </sheetData>
  <mergeCells count="20">
    <mergeCell ref="A1:AG1"/>
    <mergeCell ref="A3:AS3"/>
    <mergeCell ref="A4:AS4"/>
    <mergeCell ref="D6:O6"/>
    <mergeCell ref="P6:W6"/>
    <mergeCell ref="X6:AC6"/>
    <mergeCell ref="AD6:AK6"/>
    <mergeCell ref="AO6:AT6"/>
    <mergeCell ref="A42:B42"/>
    <mergeCell ref="A43:B43"/>
    <mergeCell ref="A44:B44"/>
    <mergeCell ref="A45:B45"/>
    <mergeCell ref="A46:B46"/>
    <mergeCell ref="A47:B47"/>
    <mergeCell ref="A48:B48"/>
    <mergeCell ref="A49:B49"/>
    <mergeCell ref="A6:A7"/>
    <mergeCell ref="B6:B7"/>
    <mergeCell ref="C6:C7"/>
    <mergeCell ref="T8:U41"/>
  </mergeCells>
  <pageMargins left="0.25" right="0.25" top="0.75" bottom="0.75" header="0.3" footer="0.3"/>
  <pageSetup paperSize="8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6"/>
  <sheetViews>
    <sheetView zoomScale="75" zoomScaleNormal="75" workbookViewId="0">
      <selection activeCell="L18" sqref="L18"/>
    </sheetView>
  </sheetViews>
  <sheetFormatPr defaultColWidth="9" defaultRowHeight="15.6"/>
  <cols>
    <col min="1" max="1" width="4.71296296296296" customWidth="1"/>
    <col min="2" max="2" width="39.287037037037" customWidth="1"/>
    <col min="3" max="3" width="5.85185185185185" customWidth="1"/>
    <col min="4" max="4" width="3.57407407407407" customWidth="1"/>
    <col min="5" max="5" width="4.28703703703704" customWidth="1"/>
    <col min="6" max="6" width="3.71296296296296" customWidth="1"/>
    <col min="7" max="7" width="4.28703703703704" customWidth="1"/>
    <col min="8" max="8" width="3.71296296296296" customWidth="1"/>
    <col min="9" max="9" width="4.28703703703704" customWidth="1"/>
    <col min="10" max="10" width="3.42592592592593" customWidth="1"/>
    <col min="11" max="11" width="3.42592592592593" style="1" customWidth="1"/>
    <col min="12" max="12" width="4.42592592592593" customWidth="1"/>
    <col min="13" max="13" width="4.28703703703704" customWidth="1"/>
    <col min="14" max="14" width="3.42592592592593" customWidth="1"/>
    <col min="15" max="15" width="4.28703703703704" customWidth="1"/>
    <col min="16" max="16" width="3.57407407407407" customWidth="1"/>
    <col min="17" max="17" width="4.28703703703704" customWidth="1"/>
    <col min="18" max="18" width="3.71296296296296" customWidth="1"/>
    <col min="19" max="23" width="4.28703703703704" customWidth="1"/>
    <col min="24" max="24" width="3.28703703703704" customWidth="1"/>
    <col min="25" max="25" width="4.28703703703704" customWidth="1"/>
    <col min="26" max="26" width="3.28703703703704" customWidth="1"/>
    <col min="27" max="27" width="4.28703703703704" customWidth="1"/>
    <col min="28" max="28" width="3.85185185185185" customWidth="1"/>
    <col min="29" max="37" width="4.28703703703704" customWidth="1"/>
    <col min="38" max="38" width="8" customWidth="1"/>
    <col min="39" max="39" width="10" customWidth="1"/>
    <col min="40" max="40" width="9.28703703703704" customWidth="1"/>
    <col min="41" max="41" width="2.28703703703704" customWidth="1"/>
    <col min="42" max="42" width="2" customWidth="1"/>
    <col min="43" max="44" width="2.57407407407407" customWidth="1"/>
    <col min="45" max="45" width="3.28703703703704" customWidth="1"/>
    <col min="46" max="46" width="5.71296296296296" style="2" customWidth="1"/>
  </cols>
  <sheetData>
    <row r="1" ht="25.8" spans="1:45">
      <c r="A1" s="3" t="s">
        <v>509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0.45" customHeight="1"/>
    <row r="3" ht="21" spans="1:4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ht="21" spans="1:45">
      <c r="A4" s="5" t="s">
        <v>510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6" customHeight="1" spans="1:45">
      <c r="A6" s="6" t="s">
        <v>3</v>
      </c>
      <c r="B6" s="7" t="s">
        <v>4</v>
      </c>
      <c r="C6" s="8" t="s">
        <v>5</v>
      </c>
      <c r="D6" s="88" t="s">
        <v>379</v>
      </c>
      <c r="E6" s="89"/>
      <c r="F6" s="89"/>
      <c r="G6" s="89"/>
      <c r="H6" s="89"/>
      <c r="I6" s="89"/>
      <c r="J6" s="89"/>
      <c r="K6" s="89"/>
      <c r="L6" s="89"/>
      <c r="M6" s="89"/>
      <c r="N6" s="89"/>
      <c r="O6" s="90"/>
      <c r="P6" s="88"/>
      <c r="Q6" s="89"/>
      <c r="R6" s="89"/>
      <c r="S6" s="89"/>
      <c r="T6" s="89"/>
      <c r="U6" s="89"/>
      <c r="V6" s="89"/>
      <c r="W6" s="90"/>
      <c r="X6" s="88"/>
      <c r="Y6" s="89"/>
      <c r="Z6" s="89"/>
      <c r="AA6" s="89"/>
      <c r="AB6" s="89"/>
      <c r="AC6" s="90"/>
      <c r="AD6" s="88"/>
      <c r="AE6" s="89"/>
      <c r="AF6" s="89"/>
      <c r="AG6" s="89"/>
      <c r="AH6" s="89"/>
      <c r="AI6" s="89"/>
      <c r="AJ6" s="89"/>
      <c r="AK6" s="90"/>
      <c r="AL6" s="91"/>
      <c r="AM6" s="91"/>
      <c r="AN6" s="91"/>
      <c r="AO6" s="11" t="s">
        <v>7</v>
      </c>
      <c r="AP6" s="12"/>
      <c r="AQ6" s="12"/>
      <c r="AR6" s="12"/>
      <c r="AS6" s="12"/>
    </row>
    <row r="7" ht="89.45" customHeight="1" spans="1:45">
      <c r="A7" s="6"/>
      <c r="B7" s="6"/>
      <c r="C7" s="13"/>
      <c r="D7" s="14" t="s">
        <v>8</v>
      </c>
      <c r="E7" s="15"/>
      <c r="F7" s="14" t="s">
        <v>9</v>
      </c>
      <c r="G7" s="14"/>
      <c r="H7" s="14" t="s">
        <v>10</v>
      </c>
      <c r="I7" s="14"/>
      <c r="J7" s="14" t="s">
        <v>11</v>
      </c>
      <c r="K7" s="14"/>
      <c r="L7" s="14" t="s">
        <v>12</v>
      </c>
      <c r="M7" s="14"/>
      <c r="N7" s="14" t="s">
        <v>13</v>
      </c>
      <c r="O7" s="14"/>
      <c r="P7" s="16" t="s">
        <v>14</v>
      </c>
      <c r="Q7" s="16"/>
      <c r="R7" s="16" t="s">
        <v>15</v>
      </c>
      <c r="S7" s="16"/>
      <c r="T7" s="16" t="s">
        <v>16</v>
      </c>
      <c r="U7" s="16"/>
      <c r="V7" s="16" t="s">
        <v>380</v>
      </c>
      <c r="W7" s="16"/>
      <c r="X7" s="17" t="s">
        <v>17</v>
      </c>
      <c r="Y7" s="17"/>
      <c r="Z7" s="17" t="s">
        <v>18</v>
      </c>
      <c r="AA7" s="17"/>
      <c r="AB7" s="17" t="s">
        <v>19</v>
      </c>
      <c r="AC7" s="92"/>
      <c r="AD7" s="93" t="s">
        <v>20</v>
      </c>
      <c r="AE7" s="93"/>
      <c r="AF7" s="93" t="s">
        <v>381</v>
      </c>
      <c r="AG7" s="93"/>
      <c r="AH7" s="93" t="s">
        <v>382</v>
      </c>
      <c r="AI7" s="93"/>
      <c r="AJ7" s="93" t="s">
        <v>383</v>
      </c>
      <c r="AK7" s="93"/>
      <c r="AL7" s="18" t="s">
        <v>7</v>
      </c>
      <c r="AM7" s="18" t="s">
        <v>22</v>
      </c>
      <c r="AN7" s="18" t="s">
        <v>23</v>
      </c>
      <c r="AO7" s="19" t="s">
        <v>24</v>
      </c>
      <c r="AP7" s="20" t="s">
        <v>25</v>
      </c>
      <c r="AQ7" s="21" t="s">
        <v>26</v>
      </c>
      <c r="AR7" s="20" t="s">
        <v>27</v>
      </c>
      <c r="AS7" s="20" t="s">
        <v>28</v>
      </c>
    </row>
    <row r="8" s="2" customFormat="1" ht="16.9" customHeight="1" spans="1:45">
      <c r="A8" s="39">
        <v>1</v>
      </c>
      <c r="B8" s="94" t="s">
        <v>511</v>
      </c>
      <c r="C8" s="95" t="s">
        <v>512</v>
      </c>
      <c r="D8" s="96">
        <v>59</v>
      </c>
      <c r="E8" s="28" t="str">
        <f>IF(D8&gt;=75,"A",IF(D8&gt;=65,"B",IF(D8&gt;=50,"C",IF(D8&gt;=36,"S","W"))))</f>
        <v>C</v>
      </c>
      <c r="F8" s="41"/>
      <c r="G8" s="41" t="str">
        <f>IF(F8&gt;=75,"A",IF(F8&gt;=65,"B",IF(F8&gt;=50,"C",IF(F8&gt;=36,"S","W"))))</f>
        <v>W</v>
      </c>
      <c r="H8" s="41"/>
      <c r="I8" s="29" t="str">
        <f>IF(H8&gt;=75,"A",IF(H8&gt;=65,"B",IF(H8&gt;=50,"C",IF(H8&gt;=36,"S","W"))))</f>
        <v>W</v>
      </c>
      <c r="J8" s="96">
        <v>26</v>
      </c>
      <c r="K8" s="41" t="str">
        <f>IF(J8&gt;=75,"A",IF(J8&gt;=65,"B",IF(J8&gt;=50,"C",IF(J8&gt;=36,"S","W"))))</f>
        <v>W</v>
      </c>
      <c r="L8" s="41">
        <v>39</v>
      </c>
      <c r="M8" s="41" t="str">
        <f>IF(L8&gt;=75,"A",IF(L8&gt;=65,"B",IF(L8&gt;=50,"C",IF(L8&gt;=36,"S","W"))))</f>
        <v>S</v>
      </c>
      <c r="N8" s="41"/>
      <c r="O8" s="41" t="str">
        <f>IF(N8&gt;=75,"A",IF(N8&gt;=65,"B",IF(N8&gt;=50,"C",IF(N8&gt;=36,"S","W"))))</f>
        <v>W</v>
      </c>
      <c r="P8" s="43"/>
      <c r="Q8" s="43" t="str">
        <f t="shared" ref="Q8:Q42" si="0">IF(P8&gt;=75,"A",IF(P8&gt;=65,"B",IF(P8&gt;=50,"C",IF(P8&gt;=36,"S","W"))))</f>
        <v>W</v>
      </c>
      <c r="R8" s="43">
        <v>57</v>
      </c>
      <c r="S8" s="43" t="str">
        <f>IF(R8&gt;=75,"A",IF(R8&gt;=65,"B",IF(R8&gt;=50,"C",IF(R8&gt;=36,"S","W"))))</f>
        <v>C</v>
      </c>
      <c r="T8" s="97" t="s">
        <v>475</v>
      </c>
      <c r="U8" s="98"/>
      <c r="V8" s="43"/>
      <c r="W8" s="43"/>
      <c r="X8" s="44"/>
      <c r="Y8" s="44"/>
      <c r="Z8" s="44"/>
      <c r="AA8" s="44"/>
      <c r="AB8" s="44">
        <v>77</v>
      </c>
      <c r="AC8" s="44" t="str">
        <f>IF(AB8&gt;=75,"A",IF(AB8&gt;=65,"B",IF(AB8&gt;=50,"C",IF(AB8&gt;=36,"S","W"))))</f>
        <v>A</v>
      </c>
      <c r="AD8" s="99">
        <v>75</v>
      </c>
      <c r="AE8" s="99" t="str">
        <f>IF(AD8&gt;=75,"A",IF(AD8&gt;=65,"B",IF(AD8&gt;=50,"C",IF(AD8&gt;=36,"S","W"))))</f>
        <v>A</v>
      </c>
      <c r="AF8" s="99"/>
      <c r="AG8" s="99"/>
      <c r="AH8" s="99"/>
      <c r="AI8" s="99"/>
      <c r="AJ8" s="99"/>
      <c r="AK8" s="99"/>
      <c r="AL8" s="100">
        <f>SUM(AF8,AD8,AB8,Z8,X8,T8,R8,P8,N8,L8,J8,H8,F8,D8)</f>
        <v>333</v>
      </c>
      <c r="AM8" s="101">
        <f>AVERAGE(AF8,AD8,AB8,Z8,X8,T8,R8,P8,N8,L8,J8,H8,F8,D8)</f>
        <v>55.5</v>
      </c>
      <c r="AN8" s="100">
        <f>RANK(AL8,$AL$8:$AL$42,0)</f>
        <v>2</v>
      </c>
      <c r="AO8" s="102">
        <f>COUNTIF(D8:AK8,"A")</f>
        <v>2</v>
      </c>
      <c r="AP8" s="102">
        <f>COUNTIF(D8:AK8,"B")</f>
        <v>0</v>
      </c>
      <c r="AQ8" s="102">
        <f>COUNTIF(D8:AK8,"C")</f>
        <v>2</v>
      </c>
      <c r="AR8" s="102">
        <f>COUNTIF(E8:AK8,"S")</f>
        <v>1</v>
      </c>
      <c r="AS8" s="102">
        <f t="shared" ref="AS8:AS23" si="1">COUNTIF(D8:AK8,"W")</f>
        <v>5</v>
      </c>
    </row>
    <row r="9" s="2" customFormat="1" ht="16.9" customHeight="1" spans="1:45">
      <c r="A9" s="24">
        <v>2</v>
      </c>
      <c r="B9" s="94" t="s">
        <v>513</v>
      </c>
      <c r="C9" s="95" t="s">
        <v>512</v>
      </c>
      <c r="D9" s="96">
        <v>37</v>
      </c>
      <c r="E9" s="28" t="str">
        <f t="shared" ref="E9:E42" si="2">IF(D9&gt;=75,"A",IF(D9&gt;=65,"B",IF(D9&gt;=50,"C",IF(D9&gt;=36,"S","W"))))</f>
        <v>S</v>
      </c>
      <c r="F9" s="41"/>
      <c r="G9" s="41" t="str">
        <f t="shared" ref="G9:G42" si="3">IF(F9&gt;=75,"A",IF(F9&gt;=65,"B",IF(F9&gt;=50,"C",IF(F9&gt;=36,"S","W"))))</f>
        <v>W</v>
      </c>
      <c r="H9" s="41"/>
      <c r="I9" s="29" t="str">
        <f t="shared" ref="I9:I42" si="4">IF(H9&gt;=75,"A",IF(H9&gt;=65,"B",IF(H9&gt;=50,"C",IF(H9&gt;=36,"S","W"))))</f>
        <v>W</v>
      </c>
      <c r="J9" s="96">
        <v>35</v>
      </c>
      <c r="K9" s="41" t="str">
        <f t="shared" ref="K9:K42" si="5">IF(J9&gt;=75,"A",IF(J9&gt;=65,"B",IF(J9&gt;=50,"C",IF(J9&gt;=36,"S","W"))))</f>
        <v>W</v>
      </c>
      <c r="L9" s="41">
        <v>40</v>
      </c>
      <c r="M9" s="41" t="str">
        <f t="shared" ref="M9:M42" si="6">IF(L9&gt;=75,"A",IF(L9&gt;=65,"B",IF(L9&gt;=50,"C",IF(L9&gt;=36,"S","W"))))</f>
        <v>S</v>
      </c>
      <c r="N9" s="41"/>
      <c r="O9" s="41" t="str">
        <f t="shared" ref="O9:O42" si="7">IF(N9&gt;=75,"A",IF(N9&gt;=65,"B",IF(N9&gt;=50,"C",IF(N9&gt;=36,"S","W"))))</f>
        <v>W</v>
      </c>
      <c r="P9" s="43"/>
      <c r="Q9" s="43" t="str">
        <f t="shared" si="0"/>
        <v>W</v>
      </c>
      <c r="R9" s="43">
        <v>51</v>
      </c>
      <c r="S9" s="43" t="str">
        <f t="shared" ref="S9:S25" si="8">IF(R9&gt;=75,"A",IF(R9&gt;=65,"B",IF(R9&gt;=50,"C",IF(R9&gt;=36,"S","W"))))</f>
        <v>C</v>
      </c>
      <c r="T9" s="103"/>
      <c r="U9" s="104"/>
      <c r="V9" s="43"/>
      <c r="W9" s="43"/>
      <c r="X9" s="44">
        <v>39</v>
      </c>
      <c r="Y9" s="44" t="str">
        <f t="shared" ref="Y9:Y41" si="9">IF(X9&gt;=75,"A",IF(X9&gt;=65,"B",IF(X9&gt;=50,"C",IF(X9&gt;=36,"S","W"))))</f>
        <v>S</v>
      </c>
      <c r="Z9" s="44"/>
      <c r="AA9" s="44"/>
      <c r="AB9" s="44"/>
      <c r="AC9" s="44"/>
      <c r="AD9" s="99">
        <v>62</v>
      </c>
      <c r="AE9" s="99" t="str">
        <f t="shared" ref="AE9:AE42" si="10">IF(AD9&gt;=75,"A",IF(AD9&gt;=65,"B",IF(AD9&gt;=50,"C",IF(AD9&gt;=36,"S","W"))))</f>
        <v>C</v>
      </c>
      <c r="AF9" s="99"/>
      <c r="AG9" s="99"/>
      <c r="AH9" s="99"/>
      <c r="AI9" s="99"/>
      <c r="AJ9" s="99"/>
      <c r="AK9" s="99"/>
      <c r="AL9" s="100">
        <f t="shared" ref="AL9:AL42" si="11">SUM(AF9,AD9,AB9,Z9,X9,T9,R9,P9,N9,L9,J9,H9,F9,D9)</f>
        <v>264</v>
      </c>
      <c r="AM9" s="101">
        <f t="shared" ref="AM9:AM42" si="12">AVERAGE(AF9,AD9,AB9,Z9,X9,T9,R9,P9,N9,L9,J9,H9,F9,D9)</f>
        <v>44</v>
      </c>
      <c r="AN9" s="100">
        <f t="shared" ref="AN9:AN42" si="13">RANK(AL9,$AL$8:$AL$42,0)</f>
        <v>8</v>
      </c>
      <c r="AO9" s="102">
        <f t="shared" ref="AO9:AO42" si="14">COUNTIF(D9:AK9,"A")</f>
        <v>0</v>
      </c>
      <c r="AP9" s="102">
        <f t="shared" ref="AP9:AP42" si="15">COUNTIF(D9:AK9,"B")</f>
        <v>0</v>
      </c>
      <c r="AQ9" s="102">
        <f t="shared" ref="AQ9:AQ42" si="16">COUNTIF(D9:AK9,"C")</f>
        <v>2</v>
      </c>
      <c r="AR9" s="102">
        <f t="shared" ref="AR9:AR42" si="17">COUNTIF(E9:AK9,"S")</f>
        <v>3</v>
      </c>
      <c r="AS9" s="102">
        <f t="shared" si="1"/>
        <v>5</v>
      </c>
    </row>
    <row r="10" s="2" customFormat="1" ht="16.9" customHeight="1" spans="1:45">
      <c r="A10" s="39">
        <v>3</v>
      </c>
      <c r="B10" s="94" t="s">
        <v>514</v>
      </c>
      <c r="C10" s="95" t="s">
        <v>512</v>
      </c>
      <c r="D10" s="96">
        <v>51</v>
      </c>
      <c r="E10" s="28" t="str">
        <f t="shared" si="2"/>
        <v>C</v>
      </c>
      <c r="F10" s="41"/>
      <c r="G10" s="41" t="str">
        <f t="shared" si="3"/>
        <v>W</v>
      </c>
      <c r="H10" s="41"/>
      <c r="I10" s="29" t="str">
        <f t="shared" si="4"/>
        <v>W</v>
      </c>
      <c r="J10" s="96">
        <v>40</v>
      </c>
      <c r="K10" s="41" t="str">
        <f t="shared" si="5"/>
        <v>S</v>
      </c>
      <c r="L10" s="41">
        <v>36</v>
      </c>
      <c r="M10" s="41" t="str">
        <f t="shared" si="6"/>
        <v>S</v>
      </c>
      <c r="N10" s="41"/>
      <c r="O10" s="41" t="str">
        <f t="shared" si="7"/>
        <v>W</v>
      </c>
      <c r="P10" s="43"/>
      <c r="Q10" s="43" t="str">
        <f t="shared" si="0"/>
        <v>W</v>
      </c>
      <c r="R10" s="43"/>
      <c r="S10" s="43"/>
      <c r="T10" s="103"/>
      <c r="U10" s="104"/>
      <c r="V10" s="43">
        <v>46</v>
      </c>
      <c r="W10" s="43" t="str">
        <f>IF(V10&gt;=75,"A",IF(V10&gt;=65,"B",IF(V10&gt;=50,"C",IF(V10&gt;=36,"S","W"))))</f>
        <v>S</v>
      </c>
      <c r="X10" s="44"/>
      <c r="Y10" s="44"/>
      <c r="Z10" s="44">
        <v>40</v>
      </c>
      <c r="AA10" s="44" t="str">
        <f t="shared" ref="AA8:AA42" si="18">IF(Z10&gt;=75,"A",IF(Z10&gt;=65,"B",IF(Z10&gt;=50,"C",IF(Z10&gt;=36,"S","W"))))</f>
        <v>S</v>
      </c>
      <c r="AB10" s="44"/>
      <c r="AC10" s="44"/>
      <c r="AD10" s="99">
        <v>57</v>
      </c>
      <c r="AE10" s="99" t="str">
        <f t="shared" si="10"/>
        <v>C</v>
      </c>
      <c r="AF10" s="99"/>
      <c r="AG10" s="99"/>
      <c r="AH10" s="99"/>
      <c r="AI10" s="99"/>
      <c r="AJ10" s="99"/>
      <c r="AK10" s="99"/>
      <c r="AL10" s="100">
        <f t="shared" si="11"/>
        <v>224</v>
      </c>
      <c r="AM10" s="101">
        <f t="shared" si="12"/>
        <v>44.8</v>
      </c>
      <c r="AN10" s="100">
        <f t="shared" si="13"/>
        <v>18</v>
      </c>
      <c r="AO10" s="102">
        <f t="shared" si="14"/>
        <v>0</v>
      </c>
      <c r="AP10" s="102">
        <f t="shared" si="15"/>
        <v>0</v>
      </c>
      <c r="AQ10" s="102">
        <f t="shared" si="16"/>
        <v>2</v>
      </c>
      <c r="AR10" s="102">
        <f t="shared" si="17"/>
        <v>4</v>
      </c>
      <c r="AS10" s="102">
        <f t="shared" si="1"/>
        <v>4</v>
      </c>
    </row>
    <row r="11" s="2" customFormat="1" ht="16.9" customHeight="1" spans="1:45">
      <c r="A11" s="24">
        <v>4</v>
      </c>
      <c r="B11" s="94" t="s">
        <v>515</v>
      </c>
      <c r="C11" s="95" t="s">
        <v>512</v>
      </c>
      <c r="D11" s="96">
        <v>48</v>
      </c>
      <c r="E11" s="28" t="str">
        <f t="shared" si="2"/>
        <v>S</v>
      </c>
      <c r="F11" s="41"/>
      <c r="G11" s="41" t="str">
        <f t="shared" si="3"/>
        <v>W</v>
      </c>
      <c r="H11" s="41"/>
      <c r="I11" s="29" t="str">
        <f t="shared" si="4"/>
        <v>W</v>
      </c>
      <c r="J11" s="96">
        <v>46</v>
      </c>
      <c r="K11" s="41" t="str">
        <f t="shared" si="5"/>
        <v>S</v>
      </c>
      <c r="L11" s="41">
        <v>43</v>
      </c>
      <c r="M11" s="41" t="str">
        <f t="shared" si="6"/>
        <v>S</v>
      </c>
      <c r="N11" s="41"/>
      <c r="O11" s="41" t="str">
        <f t="shared" si="7"/>
        <v>W</v>
      </c>
      <c r="P11" s="43"/>
      <c r="Q11" s="43" t="str">
        <f t="shared" si="0"/>
        <v>W</v>
      </c>
      <c r="R11" s="43"/>
      <c r="S11" s="43"/>
      <c r="T11" s="103"/>
      <c r="U11" s="104"/>
      <c r="V11" s="43">
        <v>51</v>
      </c>
      <c r="W11" s="43" t="str">
        <f t="shared" ref="W11:W42" si="19">IF(V11&gt;=75,"A",IF(V11&gt;=65,"B",IF(V11&gt;=50,"C",IF(V11&gt;=36,"S","W"))))</f>
        <v>C</v>
      </c>
      <c r="X11" s="44"/>
      <c r="Y11" s="44"/>
      <c r="Z11" s="44"/>
      <c r="AA11" s="44"/>
      <c r="AB11" s="44">
        <v>52</v>
      </c>
      <c r="AC11" s="44" t="str">
        <f t="shared" ref="AC11:AC42" si="20">IF(AB11&gt;=75,"A",IF(AB11&gt;=65,"B",IF(AB11&gt;=50,"C",IF(AB11&gt;=36,"S","W"))))</f>
        <v>C</v>
      </c>
      <c r="AD11" s="99"/>
      <c r="AE11" s="99"/>
      <c r="AF11" s="99">
        <v>45</v>
      </c>
      <c r="AG11" s="99" t="str">
        <f t="shared" ref="AG9:AG42" si="21">IF(AF11&gt;=75,"A",IF(AF11&gt;=65,"B",IF(AF11&gt;=50,"C",IF(AF11&gt;=36,"S","W"))))</f>
        <v>S</v>
      </c>
      <c r="AH11" s="99"/>
      <c r="AI11" s="99"/>
      <c r="AJ11" s="99"/>
      <c r="AK11" s="99"/>
      <c r="AL11" s="100">
        <f t="shared" si="11"/>
        <v>234</v>
      </c>
      <c r="AM11" s="101">
        <f t="shared" si="12"/>
        <v>46.8</v>
      </c>
      <c r="AN11" s="100">
        <f t="shared" si="13"/>
        <v>15</v>
      </c>
      <c r="AO11" s="102">
        <f t="shared" si="14"/>
        <v>0</v>
      </c>
      <c r="AP11" s="102">
        <f t="shared" si="15"/>
        <v>0</v>
      </c>
      <c r="AQ11" s="102">
        <f t="shared" si="16"/>
        <v>2</v>
      </c>
      <c r="AR11" s="102">
        <f t="shared" si="17"/>
        <v>4</v>
      </c>
      <c r="AS11" s="102">
        <f t="shared" si="1"/>
        <v>4</v>
      </c>
    </row>
    <row r="12" s="2" customFormat="1" ht="16.9" customHeight="1" spans="1:45">
      <c r="A12" s="39">
        <v>5</v>
      </c>
      <c r="B12" s="94" t="s">
        <v>516</v>
      </c>
      <c r="C12" s="95" t="s">
        <v>512</v>
      </c>
      <c r="D12" s="96">
        <v>29</v>
      </c>
      <c r="E12" s="28" t="str">
        <f t="shared" si="2"/>
        <v>W</v>
      </c>
      <c r="F12" s="41"/>
      <c r="G12" s="41" t="str">
        <f t="shared" si="3"/>
        <v>W</v>
      </c>
      <c r="H12" s="41"/>
      <c r="I12" s="29" t="str">
        <f t="shared" si="4"/>
        <v>W</v>
      </c>
      <c r="J12" s="96">
        <v>13</v>
      </c>
      <c r="K12" s="41" t="str">
        <f t="shared" si="5"/>
        <v>W</v>
      </c>
      <c r="L12" s="41" t="s">
        <v>29</v>
      </c>
      <c r="M12" s="41" t="s">
        <v>29</v>
      </c>
      <c r="N12" s="41"/>
      <c r="O12" s="41" t="str">
        <f t="shared" si="7"/>
        <v>W</v>
      </c>
      <c r="P12" s="43"/>
      <c r="Q12" s="43" t="str">
        <f t="shared" si="0"/>
        <v>W</v>
      </c>
      <c r="R12" s="43">
        <v>43</v>
      </c>
      <c r="S12" s="43" t="str">
        <f t="shared" si="8"/>
        <v>S</v>
      </c>
      <c r="T12" s="103"/>
      <c r="U12" s="104"/>
      <c r="V12" s="43"/>
      <c r="W12" s="43"/>
      <c r="X12" s="44" t="s">
        <v>29</v>
      </c>
      <c r="Y12" s="44" t="s">
        <v>29</v>
      </c>
      <c r="Z12" s="44"/>
      <c r="AA12" s="44"/>
      <c r="AB12" s="44"/>
      <c r="AC12" s="44"/>
      <c r="AD12" s="99" t="s">
        <v>29</v>
      </c>
      <c r="AE12" s="99" t="s">
        <v>29</v>
      </c>
      <c r="AF12" s="99"/>
      <c r="AG12" s="99"/>
      <c r="AH12" s="99"/>
      <c r="AI12" s="99"/>
      <c r="AJ12" s="99"/>
      <c r="AK12" s="99"/>
      <c r="AL12" s="100">
        <f t="shared" si="11"/>
        <v>85</v>
      </c>
      <c r="AM12" s="101">
        <f t="shared" si="12"/>
        <v>28.3333333333333</v>
      </c>
      <c r="AN12" s="100">
        <f t="shared" si="13"/>
        <v>33</v>
      </c>
      <c r="AO12" s="102">
        <f t="shared" si="14"/>
        <v>0</v>
      </c>
      <c r="AP12" s="102">
        <f t="shared" si="15"/>
        <v>0</v>
      </c>
      <c r="AQ12" s="102">
        <f t="shared" si="16"/>
        <v>0</v>
      </c>
      <c r="AR12" s="102">
        <f t="shared" si="17"/>
        <v>1</v>
      </c>
      <c r="AS12" s="102">
        <f t="shared" si="1"/>
        <v>6</v>
      </c>
    </row>
    <row r="13" s="2" customFormat="1" ht="16.9" customHeight="1" spans="1:45">
      <c r="A13" s="24">
        <v>6</v>
      </c>
      <c r="B13" s="94" t="s">
        <v>517</v>
      </c>
      <c r="C13" s="95" t="s">
        <v>512</v>
      </c>
      <c r="D13" s="96">
        <v>33</v>
      </c>
      <c r="E13" s="28" t="str">
        <f t="shared" si="2"/>
        <v>W</v>
      </c>
      <c r="F13" s="41"/>
      <c r="G13" s="41" t="str">
        <f t="shared" si="3"/>
        <v>W</v>
      </c>
      <c r="H13" s="41"/>
      <c r="I13" s="29" t="str">
        <f t="shared" si="4"/>
        <v>W</v>
      </c>
      <c r="J13" s="96">
        <v>28</v>
      </c>
      <c r="K13" s="41" t="str">
        <f t="shared" si="5"/>
        <v>W</v>
      </c>
      <c r="L13" s="41">
        <v>37</v>
      </c>
      <c r="M13" s="41" t="str">
        <f t="shared" si="6"/>
        <v>S</v>
      </c>
      <c r="N13" s="41"/>
      <c r="O13" s="41" t="str">
        <f t="shared" si="7"/>
        <v>W</v>
      </c>
      <c r="P13" s="43"/>
      <c r="Q13" s="43" t="str">
        <f t="shared" si="0"/>
        <v>W</v>
      </c>
      <c r="R13" s="43"/>
      <c r="S13" s="43"/>
      <c r="T13" s="103"/>
      <c r="U13" s="104"/>
      <c r="V13" s="43"/>
      <c r="W13" s="43"/>
      <c r="X13" s="44"/>
      <c r="Y13" s="44"/>
      <c r="Z13" s="44"/>
      <c r="AA13" s="44"/>
      <c r="AB13" s="44">
        <v>40</v>
      </c>
      <c r="AC13" s="44" t="str">
        <f t="shared" si="20"/>
        <v>S</v>
      </c>
      <c r="AD13" s="99">
        <v>67</v>
      </c>
      <c r="AE13" s="99" t="str">
        <f t="shared" si="10"/>
        <v>B</v>
      </c>
      <c r="AF13" s="99"/>
      <c r="AG13" s="99"/>
      <c r="AH13" s="99"/>
      <c r="AI13" s="99"/>
      <c r="AJ13" s="99"/>
      <c r="AK13" s="99"/>
      <c r="AL13" s="100">
        <f t="shared" si="11"/>
        <v>205</v>
      </c>
      <c r="AM13" s="101">
        <f t="shared" si="12"/>
        <v>41</v>
      </c>
      <c r="AN13" s="100">
        <f t="shared" si="13"/>
        <v>22</v>
      </c>
      <c r="AO13" s="102">
        <f t="shared" si="14"/>
        <v>0</v>
      </c>
      <c r="AP13" s="102">
        <f t="shared" si="15"/>
        <v>1</v>
      </c>
      <c r="AQ13" s="102">
        <f t="shared" si="16"/>
        <v>0</v>
      </c>
      <c r="AR13" s="102">
        <f t="shared" si="17"/>
        <v>2</v>
      </c>
      <c r="AS13" s="102">
        <f t="shared" si="1"/>
        <v>6</v>
      </c>
    </row>
    <row r="14" s="2" customFormat="1" ht="16.9" customHeight="1" spans="1:45">
      <c r="A14" s="39">
        <v>7</v>
      </c>
      <c r="B14" s="94" t="s">
        <v>518</v>
      </c>
      <c r="C14" s="95" t="s">
        <v>512</v>
      </c>
      <c r="D14" s="96">
        <v>15</v>
      </c>
      <c r="E14" s="28" t="str">
        <f t="shared" si="2"/>
        <v>W</v>
      </c>
      <c r="F14" s="41"/>
      <c r="G14" s="41" t="str">
        <f t="shared" si="3"/>
        <v>W</v>
      </c>
      <c r="H14" s="41"/>
      <c r="I14" s="29" t="str">
        <f t="shared" si="4"/>
        <v>W</v>
      </c>
      <c r="J14" s="96">
        <v>10</v>
      </c>
      <c r="K14" s="41" t="str">
        <f t="shared" si="5"/>
        <v>W</v>
      </c>
      <c r="L14" s="41">
        <v>19</v>
      </c>
      <c r="M14" s="41" t="str">
        <f t="shared" si="6"/>
        <v>W</v>
      </c>
      <c r="N14" s="41"/>
      <c r="O14" s="41" t="str">
        <f t="shared" si="7"/>
        <v>W</v>
      </c>
      <c r="P14" s="43"/>
      <c r="Q14" s="43" t="str">
        <f t="shared" si="0"/>
        <v>W</v>
      </c>
      <c r="R14" s="29" t="s">
        <v>29</v>
      </c>
      <c r="S14" s="29" t="s">
        <v>29</v>
      </c>
      <c r="T14" s="103"/>
      <c r="U14" s="104"/>
      <c r="V14" s="43"/>
      <c r="W14" s="43"/>
      <c r="X14" s="44" t="s">
        <v>29</v>
      </c>
      <c r="Y14" s="44" t="s">
        <v>29</v>
      </c>
      <c r="Z14" s="44"/>
      <c r="AA14" s="44"/>
      <c r="AB14" s="44"/>
      <c r="AC14" s="44"/>
      <c r="AD14" s="99"/>
      <c r="AE14" s="99"/>
      <c r="AF14" s="99"/>
      <c r="AG14" s="99"/>
      <c r="AH14" s="99"/>
      <c r="AI14" s="99"/>
      <c r="AJ14" s="99"/>
      <c r="AK14" s="99"/>
      <c r="AL14" s="100">
        <f t="shared" si="11"/>
        <v>44</v>
      </c>
      <c r="AM14" s="101">
        <f t="shared" si="12"/>
        <v>14.6666666666667</v>
      </c>
      <c r="AN14" s="100">
        <f t="shared" si="13"/>
        <v>34</v>
      </c>
      <c r="AO14" s="102">
        <f t="shared" si="14"/>
        <v>0</v>
      </c>
      <c r="AP14" s="102">
        <f t="shared" si="15"/>
        <v>0</v>
      </c>
      <c r="AQ14" s="102">
        <f t="shared" si="16"/>
        <v>0</v>
      </c>
      <c r="AR14" s="102">
        <f t="shared" si="17"/>
        <v>0</v>
      </c>
      <c r="AS14" s="102">
        <f t="shared" si="1"/>
        <v>7</v>
      </c>
    </row>
    <row r="15" s="2" customFormat="1" ht="16.9" customHeight="1" spans="1:45">
      <c r="A15" s="24">
        <v>8</v>
      </c>
      <c r="B15" s="94" t="s">
        <v>519</v>
      </c>
      <c r="C15" s="95" t="s">
        <v>512</v>
      </c>
      <c r="D15" s="105">
        <v>25</v>
      </c>
      <c r="E15" s="28" t="str">
        <f t="shared" si="2"/>
        <v>W</v>
      </c>
      <c r="F15" s="29"/>
      <c r="G15" s="41" t="str">
        <f t="shared" si="3"/>
        <v>W</v>
      </c>
      <c r="H15" s="29"/>
      <c r="I15" s="29" t="str">
        <f t="shared" si="4"/>
        <v>W</v>
      </c>
      <c r="J15" s="105">
        <v>19</v>
      </c>
      <c r="K15" s="41" t="str">
        <f t="shared" si="5"/>
        <v>W</v>
      </c>
      <c r="L15" s="41">
        <v>33</v>
      </c>
      <c r="M15" s="41" t="str">
        <f t="shared" si="6"/>
        <v>W</v>
      </c>
      <c r="N15" s="29"/>
      <c r="O15" s="41" t="str">
        <f t="shared" si="7"/>
        <v>W</v>
      </c>
      <c r="P15" s="51"/>
      <c r="Q15" s="43" t="str">
        <f t="shared" si="0"/>
        <v>W</v>
      </c>
      <c r="R15" s="51">
        <v>40</v>
      </c>
      <c r="S15" s="43" t="str">
        <f t="shared" si="8"/>
        <v>S</v>
      </c>
      <c r="T15" s="103"/>
      <c r="U15" s="104"/>
      <c r="V15" s="43"/>
      <c r="W15" s="43"/>
      <c r="X15" s="44" t="s">
        <v>29</v>
      </c>
      <c r="Y15" s="44" t="s">
        <v>29</v>
      </c>
      <c r="Z15" s="52"/>
      <c r="AA15" s="44"/>
      <c r="AB15" s="52"/>
      <c r="AC15" s="44"/>
      <c r="AD15" s="106" t="s">
        <v>29</v>
      </c>
      <c r="AE15" s="106" t="s">
        <v>29</v>
      </c>
      <c r="AF15" s="106"/>
      <c r="AG15" s="99"/>
      <c r="AH15" s="106"/>
      <c r="AI15" s="106"/>
      <c r="AJ15" s="106"/>
      <c r="AK15" s="99"/>
      <c r="AL15" s="100">
        <f t="shared" si="11"/>
        <v>117</v>
      </c>
      <c r="AM15" s="101">
        <f t="shared" si="12"/>
        <v>29.25</v>
      </c>
      <c r="AN15" s="100">
        <f t="shared" si="13"/>
        <v>31</v>
      </c>
      <c r="AO15" s="102">
        <f t="shared" si="14"/>
        <v>0</v>
      </c>
      <c r="AP15" s="102">
        <f t="shared" si="15"/>
        <v>0</v>
      </c>
      <c r="AQ15" s="102">
        <f t="shared" si="16"/>
        <v>0</v>
      </c>
      <c r="AR15" s="102">
        <f t="shared" si="17"/>
        <v>1</v>
      </c>
      <c r="AS15" s="102">
        <f t="shared" si="1"/>
        <v>7</v>
      </c>
    </row>
    <row r="16" s="2" customFormat="1" ht="16.9" customHeight="1" spans="1:45">
      <c r="A16" s="39">
        <v>9</v>
      </c>
      <c r="B16" s="94" t="s">
        <v>520</v>
      </c>
      <c r="C16" s="95" t="s">
        <v>512</v>
      </c>
      <c r="D16" s="105">
        <v>35</v>
      </c>
      <c r="E16" s="28" t="str">
        <f t="shared" si="2"/>
        <v>W</v>
      </c>
      <c r="F16" s="29"/>
      <c r="G16" s="41" t="str">
        <f t="shared" si="3"/>
        <v>W</v>
      </c>
      <c r="H16" s="29"/>
      <c r="I16" s="29" t="str">
        <f t="shared" si="4"/>
        <v>W</v>
      </c>
      <c r="J16" s="105">
        <v>36</v>
      </c>
      <c r="K16" s="41" t="str">
        <f t="shared" si="5"/>
        <v>S</v>
      </c>
      <c r="L16" s="41">
        <v>42</v>
      </c>
      <c r="M16" s="41" t="str">
        <f t="shared" si="6"/>
        <v>S</v>
      </c>
      <c r="N16" s="29"/>
      <c r="O16" s="41" t="str">
        <f t="shared" si="7"/>
        <v>W</v>
      </c>
      <c r="P16" s="51"/>
      <c r="Q16" s="43" t="str">
        <f t="shared" si="0"/>
        <v>W</v>
      </c>
      <c r="R16" s="51"/>
      <c r="S16" s="43"/>
      <c r="T16" s="103"/>
      <c r="U16" s="104"/>
      <c r="V16" s="43"/>
      <c r="W16" s="43"/>
      <c r="X16" s="52">
        <v>58</v>
      </c>
      <c r="Y16" s="44" t="str">
        <f t="shared" si="9"/>
        <v>C</v>
      </c>
      <c r="Z16" s="52"/>
      <c r="AA16" s="44"/>
      <c r="AB16" s="52"/>
      <c r="AC16" s="44"/>
      <c r="AD16" s="106">
        <v>69</v>
      </c>
      <c r="AE16" s="99" t="str">
        <f t="shared" si="10"/>
        <v>B</v>
      </c>
      <c r="AF16" s="106"/>
      <c r="AG16" s="99"/>
      <c r="AH16" s="106"/>
      <c r="AI16" s="106"/>
      <c r="AJ16" s="106"/>
      <c r="AK16" s="99"/>
      <c r="AL16" s="100">
        <f t="shared" si="11"/>
        <v>240</v>
      </c>
      <c r="AM16" s="101">
        <f t="shared" si="12"/>
        <v>48</v>
      </c>
      <c r="AN16" s="100">
        <f t="shared" si="13"/>
        <v>14</v>
      </c>
      <c r="AO16" s="102">
        <f t="shared" si="14"/>
        <v>0</v>
      </c>
      <c r="AP16" s="102">
        <f t="shared" si="15"/>
        <v>1</v>
      </c>
      <c r="AQ16" s="102">
        <f t="shared" si="16"/>
        <v>1</v>
      </c>
      <c r="AR16" s="102">
        <f t="shared" si="17"/>
        <v>2</v>
      </c>
      <c r="AS16" s="102">
        <f t="shared" si="1"/>
        <v>5</v>
      </c>
    </row>
    <row r="17" s="2" customFormat="1" ht="16.9" customHeight="1" spans="1:45">
      <c r="A17" s="24">
        <v>10</v>
      </c>
      <c r="B17" s="94" t="s">
        <v>521</v>
      </c>
      <c r="C17" s="95" t="s">
        <v>512</v>
      </c>
      <c r="D17" s="105">
        <v>33</v>
      </c>
      <c r="E17" s="28" t="str">
        <f t="shared" si="2"/>
        <v>W</v>
      </c>
      <c r="F17" s="29"/>
      <c r="G17" s="41" t="str">
        <f t="shared" si="3"/>
        <v>W</v>
      </c>
      <c r="H17" s="29"/>
      <c r="I17" s="29" t="str">
        <f t="shared" si="4"/>
        <v>W</v>
      </c>
      <c r="J17" s="105">
        <v>29</v>
      </c>
      <c r="K17" s="41" t="str">
        <f t="shared" si="5"/>
        <v>W</v>
      </c>
      <c r="L17" s="41" t="s">
        <v>29</v>
      </c>
      <c r="M17" s="41" t="s">
        <v>29</v>
      </c>
      <c r="N17" s="29"/>
      <c r="O17" s="41" t="str">
        <f t="shared" si="7"/>
        <v>W</v>
      </c>
      <c r="P17" s="51"/>
      <c r="Q17" s="43" t="str">
        <f t="shared" si="0"/>
        <v>W</v>
      </c>
      <c r="R17" s="51"/>
      <c r="S17" s="43"/>
      <c r="T17" s="103"/>
      <c r="U17" s="104"/>
      <c r="V17" s="43"/>
      <c r="W17" s="43"/>
      <c r="X17" s="52" t="s">
        <v>29</v>
      </c>
      <c r="Y17" s="44" t="s">
        <v>29</v>
      </c>
      <c r="Z17" s="52"/>
      <c r="AA17" s="44"/>
      <c r="AB17" s="52"/>
      <c r="AC17" s="44"/>
      <c r="AD17" s="106">
        <v>69</v>
      </c>
      <c r="AE17" s="99" t="str">
        <f t="shared" si="10"/>
        <v>B</v>
      </c>
      <c r="AF17" s="106"/>
      <c r="AG17" s="99"/>
      <c r="AH17" s="106"/>
      <c r="AI17" s="106"/>
      <c r="AJ17" s="106"/>
      <c r="AK17" s="99"/>
      <c r="AL17" s="100">
        <f t="shared" si="11"/>
        <v>131</v>
      </c>
      <c r="AM17" s="101">
        <f t="shared" si="12"/>
        <v>43.6666666666667</v>
      </c>
      <c r="AN17" s="100">
        <f t="shared" si="13"/>
        <v>29</v>
      </c>
      <c r="AO17" s="102">
        <f t="shared" si="14"/>
        <v>0</v>
      </c>
      <c r="AP17" s="102">
        <f t="shared" si="15"/>
        <v>1</v>
      </c>
      <c r="AQ17" s="102">
        <f t="shared" si="16"/>
        <v>0</v>
      </c>
      <c r="AR17" s="102">
        <f t="shared" si="17"/>
        <v>0</v>
      </c>
      <c r="AS17" s="102">
        <f t="shared" si="1"/>
        <v>6</v>
      </c>
    </row>
    <row r="18" s="2" customFormat="1" ht="16.9" customHeight="1" spans="1:45">
      <c r="A18" s="39">
        <v>11</v>
      </c>
      <c r="B18" s="94" t="s">
        <v>522</v>
      </c>
      <c r="C18" s="95" t="s">
        <v>512</v>
      </c>
      <c r="D18" s="105">
        <v>24</v>
      </c>
      <c r="E18" s="28" t="str">
        <f t="shared" si="2"/>
        <v>W</v>
      </c>
      <c r="F18" s="29"/>
      <c r="G18" s="41" t="str">
        <f t="shared" si="3"/>
        <v>W</v>
      </c>
      <c r="H18" s="29"/>
      <c r="I18" s="29" t="str">
        <f t="shared" si="4"/>
        <v>W</v>
      </c>
      <c r="J18" s="105">
        <v>24</v>
      </c>
      <c r="K18" s="41" t="str">
        <f t="shared" si="5"/>
        <v>W</v>
      </c>
      <c r="L18" s="41">
        <v>23</v>
      </c>
      <c r="M18" s="41" t="str">
        <f t="shared" si="6"/>
        <v>W</v>
      </c>
      <c r="N18" s="29"/>
      <c r="O18" s="41" t="str">
        <f t="shared" si="7"/>
        <v>W</v>
      </c>
      <c r="P18" s="51"/>
      <c r="Q18" s="43" t="str">
        <f t="shared" si="0"/>
        <v>W</v>
      </c>
      <c r="R18" s="51"/>
      <c r="S18" s="43"/>
      <c r="T18" s="103"/>
      <c r="U18" s="104"/>
      <c r="V18" s="43"/>
      <c r="W18" s="43"/>
      <c r="X18" s="52">
        <v>50</v>
      </c>
      <c r="Y18" s="44" t="str">
        <f t="shared" si="9"/>
        <v>C</v>
      </c>
      <c r="Z18" s="52"/>
      <c r="AA18" s="44"/>
      <c r="AB18" s="52"/>
      <c r="AC18" s="44"/>
      <c r="AD18" s="106"/>
      <c r="AE18" s="99"/>
      <c r="AF18" s="106"/>
      <c r="AG18" s="99"/>
      <c r="AH18" s="106" t="s">
        <v>29</v>
      </c>
      <c r="AI18" s="106" t="s">
        <v>29</v>
      </c>
      <c r="AJ18" s="106"/>
      <c r="AK18" s="99"/>
      <c r="AL18" s="100">
        <f t="shared" si="11"/>
        <v>121</v>
      </c>
      <c r="AM18" s="101">
        <f t="shared" si="12"/>
        <v>30.25</v>
      </c>
      <c r="AN18" s="100">
        <f t="shared" si="13"/>
        <v>30</v>
      </c>
      <c r="AO18" s="102">
        <f t="shared" si="14"/>
        <v>0</v>
      </c>
      <c r="AP18" s="102">
        <f t="shared" si="15"/>
        <v>0</v>
      </c>
      <c r="AQ18" s="102">
        <f t="shared" si="16"/>
        <v>1</v>
      </c>
      <c r="AR18" s="102">
        <f t="shared" si="17"/>
        <v>0</v>
      </c>
      <c r="AS18" s="102">
        <f t="shared" si="1"/>
        <v>7</v>
      </c>
    </row>
    <row r="19" s="2" customFormat="1" ht="16.9" customHeight="1" spans="1:45">
      <c r="A19" s="24">
        <v>12</v>
      </c>
      <c r="B19" s="94" t="s">
        <v>523</v>
      </c>
      <c r="C19" s="95" t="s">
        <v>512</v>
      </c>
      <c r="D19" s="105">
        <v>63</v>
      </c>
      <c r="E19" s="28" t="str">
        <f t="shared" si="2"/>
        <v>C</v>
      </c>
      <c r="F19" s="29"/>
      <c r="G19" s="41" t="str">
        <f t="shared" si="3"/>
        <v>W</v>
      </c>
      <c r="H19" s="29"/>
      <c r="I19" s="29" t="str">
        <f t="shared" si="4"/>
        <v>W</v>
      </c>
      <c r="J19" s="105">
        <v>40</v>
      </c>
      <c r="K19" s="41" t="str">
        <f t="shared" si="5"/>
        <v>S</v>
      </c>
      <c r="L19" s="41">
        <v>39</v>
      </c>
      <c r="M19" s="41" t="str">
        <f t="shared" si="6"/>
        <v>S</v>
      </c>
      <c r="N19" s="29"/>
      <c r="O19" s="41" t="str">
        <f t="shared" si="7"/>
        <v>W</v>
      </c>
      <c r="P19" s="51"/>
      <c r="Q19" s="43" t="str">
        <f t="shared" si="0"/>
        <v>W</v>
      </c>
      <c r="R19" s="51"/>
      <c r="S19" s="43"/>
      <c r="T19" s="103"/>
      <c r="U19" s="104"/>
      <c r="V19" s="43"/>
      <c r="W19" s="43"/>
      <c r="X19" s="52"/>
      <c r="Y19" s="44"/>
      <c r="Z19" s="52">
        <v>64</v>
      </c>
      <c r="AA19" s="44" t="str">
        <f t="shared" si="18"/>
        <v>C</v>
      </c>
      <c r="AB19" s="52"/>
      <c r="AC19" s="44"/>
      <c r="AD19" s="106">
        <v>72</v>
      </c>
      <c r="AE19" s="99" t="str">
        <f t="shared" si="10"/>
        <v>B</v>
      </c>
      <c r="AF19" s="106"/>
      <c r="AG19" s="99"/>
      <c r="AH19" s="106"/>
      <c r="AI19" s="106"/>
      <c r="AJ19" s="106"/>
      <c r="AK19" s="99"/>
      <c r="AL19" s="100">
        <f t="shared" si="11"/>
        <v>278</v>
      </c>
      <c r="AM19" s="101">
        <f t="shared" si="12"/>
        <v>55.6</v>
      </c>
      <c r="AN19" s="100">
        <f t="shared" si="13"/>
        <v>6</v>
      </c>
      <c r="AO19" s="102">
        <f t="shared" si="14"/>
        <v>0</v>
      </c>
      <c r="AP19" s="102">
        <f t="shared" si="15"/>
        <v>1</v>
      </c>
      <c r="AQ19" s="102">
        <f t="shared" si="16"/>
        <v>2</v>
      </c>
      <c r="AR19" s="102">
        <f t="shared" si="17"/>
        <v>2</v>
      </c>
      <c r="AS19" s="102">
        <f t="shared" si="1"/>
        <v>4</v>
      </c>
    </row>
    <row r="20" s="2" customFormat="1" ht="16.9" customHeight="1" spans="1:45">
      <c r="A20" s="39">
        <v>13</v>
      </c>
      <c r="B20" s="94" t="s">
        <v>524</v>
      </c>
      <c r="C20" s="95" t="s">
        <v>512</v>
      </c>
      <c r="D20" s="105" t="s">
        <v>29</v>
      </c>
      <c r="E20" s="105" t="s">
        <v>29</v>
      </c>
      <c r="F20" s="29"/>
      <c r="G20" s="41" t="str">
        <f t="shared" si="3"/>
        <v>W</v>
      </c>
      <c r="H20" s="29"/>
      <c r="I20" s="29" t="str">
        <f t="shared" si="4"/>
        <v>W</v>
      </c>
      <c r="J20" s="105">
        <v>37</v>
      </c>
      <c r="K20" s="41" t="str">
        <f t="shared" si="5"/>
        <v>S</v>
      </c>
      <c r="L20" s="41">
        <v>38</v>
      </c>
      <c r="M20" s="41" t="str">
        <f t="shared" si="6"/>
        <v>S</v>
      </c>
      <c r="N20" s="29"/>
      <c r="O20" s="41" t="str">
        <f t="shared" si="7"/>
        <v>W</v>
      </c>
      <c r="P20" s="51"/>
      <c r="Q20" s="43" t="str">
        <f t="shared" si="0"/>
        <v>W</v>
      </c>
      <c r="R20" s="51"/>
      <c r="S20" s="43"/>
      <c r="T20" s="103"/>
      <c r="U20" s="104"/>
      <c r="V20" s="43"/>
      <c r="W20" s="43"/>
      <c r="X20" s="52"/>
      <c r="Y20" s="44"/>
      <c r="Z20" s="52"/>
      <c r="AA20" s="44"/>
      <c r="AB20" s="52">
        <v>67</v>
      </c>
      <c r="AC20" s="44" t="str">
        <f t="shared" si="20"/>
        <v>B</v>
      </c>
      <c r="AD20" s="106">
        <v>69</v>
      </c>
      <c r="AE20" s="106" t="s">
        <v>29</v>
      </c>
      <c r="AF20" s="106"/>
      <c r="AG20" s="99"/>
      <c r="AH20" s="106"/>
      <c r="AI20" s="106"/>
      <c r="AJ20" s="106"/>
      <c r="AK20" s="99"/>
      <c r="AL20" s="100">
        <f t="shared" si="11"/>
        <v>211</v>
      </c>
      <c r="AM20" s="101">
        <f t="shared" si="12"/>
        <v>52.75</v>
      </c>
      <c r="AN20" s="100">
        <f t="shared" si="13"/>
        <v>21</v>
      </c>
      <c r="AO20" s="102">
        <f t="shared" si="14"/>
        <v>0</v>
      </c>
      <c r="AP20" s="102">
        <f t="shared" si="15"/>
        <v>1</v>
      </c>
      <c r="AQ20" s="102">
        <f t="shared" si="16"/>
        <v>0</v>
      </c>
      <c r="AR20" s="102">
        <f t="shared" si="17"/>
        <v>2</v>
      </c>
      <c r="AS20" s="102">
        <f t="shared" si="1"/>
        <v>4</v>
      </c>
    </row>
    <row r="21" s="2" customFormat="1" ht="16.9" customHeight="1" spans="1:45">
      <c r="A21" s="24">
        <v>14</v>
      </c>
      <c r="B21" s="94" t="s">
        <v>525</v>
      </c>
      <c r="C21" s="95" t="s">
        <v>512</v>
      </c>
      <c r="D21" s="105">
        <v>43</v>
      </c>
      <c r="E21" s="28" t="str">
        <f t="shared" si="2"/>
        <v>S</v>
      </c>
      <c r="F21" s="29"/>
      <c r="G21" s="41" t="str">
        <f t="shared" si="3"/>
        <v>W</v>
      </c>
      <c r="H21" s="29"/>
      <c r="I21" s="29" t="str">
        <f t="shared" si="4"/>
        <v>W</v>
      </c>
      <c r="J21" s="105">
        <v>27</v>
      </c>
      <c r="K21" s="41" t="str">
        <f t="shared" si="5"/>
        <v>W</v>
      </c>
      <c r="L21" s="41">
        <v>30</v>
      </c>
      <c r="M21" s="41" t="str">
        <f t="shared" si="6"/>
        <v>W</v>
      </c>
      <c r="N21" s="29"/>
      <c r="O21" s="41" t="str">
        <f t="shared" si="7"/>
        <v>W</v>
      </c>
      <c r="P21" s="51"/>
      <c r="Q21" s="43" t="str">
        <f t="shared" si="0"/>
        <v>W</v>
      </c>
      <c r="R21" s="51"/>
      <c r="S21" s="43"/>
      <c r="T21" s="103"/>
      <c r="U21" s="104"/>
      <c r="V21" s="43"/>
      <c r="W21" s="43"/>
      <c r="X21" s="52"/>
      <c r="Y21" s="44"/>
      <c r="Z21" s="52"/>
      <c r="AA21" s="44"/>
      <c r="AB21" s="52">
        <v>59</v>
      </c>
      <c r="AC21" s="44" t="str">
        <f t="shared" si="20"/>
        <v>C</v>
      </c>
      <c r="AD21" s="106">
        <v>60</v>
      </c>
      <c r="AE21" s="99" t="str">
        <f t="shared" si="10"/>
        <v>C</v>
      </c>
      <c r="AF21" s="106"/>
      <c r="AG21" s="99"/>
      <c r="AH21" s="106"/>
      <c r="AI21" s="106"/>
      <c r="AJ21" s="106"/>
      <c r="AK21" s="99"/>
      <c r="AL21" s="100">
        <f t="shared" si="11"/>
        <v>219</v>
      </c>
      <c r="AM21" s="101">
        <f t="shared" si="12"/>
        <v>43.8</v>
      </c>
      <c r="AN21" s="100">
        <f t="shared" si="13"/>
        <v>19</v>
      </c>
      <c r="AO21" s="102">
        <f t="shared" si="14"/>
        <v>0</v>
      </c>
      <c r="AP21" s="102">
        <f t="shared" si="15"/>
        <v>0</v>
      </c>
      <c r="AQ21" s="102">
        <f t="shared" si="16"/>
        <v>2</v>
      </c>
      <c r="AR21" s="102">
        <f t="shared" si="17"/>
        <v>1</v>
      </c>
      <c r="AS21" s="102">
        <f t="shared" si="1"/>
        <v>6</v>
      </c>
    </row>
    <row r="22" s="2" customFormat="1" ht="16.9" customHeight="1" spans="1:45">
      <c r="A22" s="39">
        <v>15</v>
      </c>
      <c r="B22" s="94" t="s">
        <v>526</v>
      </c>
      <c r="C22" s="95" t="s">
        <v>512</v>
      </c>
      <c r="D22" s="105">
        <v>42</v>
      </c>
      <c r="E22" s="28" t="str">
        <f t="shared" si="2"/>
        <v>S</v>
      </c>
      <c r="F22" s="29"/>
      <c r="G22" s="41" t="str">
        <f t="shared" si="3"/>
        <v>W</v>
      </c>
      <c r="H22" s="29"/>
      <c r="I22" s="29" t="str">
        <f t="shared" si="4"/>
        <v>W</v>
      </c>
      <c r="J22" s="105">
        <v>28</v>
      </c>
      <c r="K22" s="41" t="str">
        <f t="shared" si="5"/>
        <v>W</v>
      </c>
      <c r="L22" s="41">
        <v>29</v>
      </c>
      <c r="M22" s="41" t="str">
        <f t="shared" si="6"/>
        <v>W</v>
      </c>
      <c r="N22" s="29"/>
      <c r="O22" s="41" t="str">
        <f t="shared" si="7"/>
        <v>W</v>
      </c>
      <c r="P22" s="51"/>
      <c r="Q22" s="43" t="str">
        <f t="shared" si="0"/>
        <v>W</v>
      </c>
      <c r="R22" s="51"/>
      <c r="S22" s="43"/>
      <c r="T22" s="103"/>
      <c r="U22" s="104"/>
      <c r="V22" s="43"/>
      <c r="W22" s="43"/>
      <c r="X22" s="52"/>
      <c r="Y22" s="44"/>
      <c r="Z22" s="52"/>
      <c r="AA22" s="44"/>
      <c r="AB22" s="52">
        <v>42</v>
      </c>
      <c r="AC22" s="44" t="str">
        <f t="shared" si="20"/>
        <v>S</v>
      </c>
      <c r="AD22" s="106">
        <v>64</v>
      </c>
      <c r="AE22" s="99" t="str">
        <f t="shared" si="10"/>
        <v>C</v>
      </c>
      <c r="AF22" s="106"/>
      <c r="AG22" s="99"/>
      <c r="AH22" s="106"/>
      <c r="AI22" s="106"/>
      <c r="AJ22" s="106"/>
      <c r="AK22" s="99"/>
      <c r="AL22" s="100">
        <f t="shared" si="11"/>
        <v>205</v>
      </c>
      <c r="AM22" s="101">
        <f t="shared" si="12"/>
        <v>41</v>
      </c>
      <c r="AN22" s="100">
        <f t="shared" si="13"/>
        <v>22</v>
      </c>
      <c r="AO22" s="102">
        <f t="shared" si="14"/>
        <v>0</v>
      </c>
      <c r="AP22" s="102">
        <f t="shared" si="15"/>
        <v>0</v>
      </c>
      <c r="AQ22" s="102">
        <f t="shared" si="16"/>
        <v>1</v>
      </c>
      <c r="AR22" s="102">
        <f t="shared" si="17"/>
        <v>2</v>
      </c>
      <c r="AS22" s="102">
        <f t="shared" si="1"/>
        <v>6</v>
      </c>
    </row>
    <row r="23" s="2" customFormat="1" ht="16.9" customHeight="1" spans="1:45">
      <c r="A23" s="24">
        <v>16</v>
      </c>
      <c r="B23" s="94" t="s">
        <v>527</v>
      </c>
      <c r="C23" s="95" t="s">
        <v>512</v>
      </c>
      <c r="D23" s="105">
        <v>30</v>
      </c>
      <c r="E23" s="28" t="str">
        <f t="shared" si="2"/>
        <v>W</v>
      </c>
      <c r="F23" s="29"/>
      <c r="G23" s="41" t="str">
        <f t="shared" si="3"/>
        <v>W</v>
      </c>
      <c r="H23" s="29"/>
      <c r="I23" s="29" t="str">
        <f t="shared" si="4"/>
        <v>W</v>
      </c>
      <c r="J23" s="105">
        <v>19</v>
      </c>
      <c r="K23" s="41" t="str">
        <f t="shared" si="5"/>
        <v>W</v>
      </c>
      <c r="L23" s="41">
        <v>41</v>
      </c>
      <c r="M23" s="41" t="str">
        <f t="shared" si="6"/>
        <v>S</v>
      </c>
      <c r="N23" s="29"/>
      <c r="O23" s="41" t="str">
        <f t="shared" si="7"/>
        <v>W</v>
      </c>
      <c r="P23" s="51"/>
      <c r="Q23" s="43" t="str">
        <f t="shared" si="0"/>
        <v>W</v>
      </c>
      <c r="R23" s="51"/>
      <c r="S23" s="43"/>
      <c r="T23" s="103"/>
      <c r="U23" s="104"/>
      <c r="V23" s="43"/>
      <c r="W23" s="43"/>
      <c r="X23" s="52">
        <v>68</v>
      </c>
      <c r="Y23" s="44" t="str">
        <f t="shared" si="9"/>
        <v>B</v>
      </c>
      <c r="Z23" s="52"/>
      <c r="AA23" s="44"/>
      <c r="AB23" s="52"/>
      <c r="AC23" s="44"/>
      <c r="AD23" s="106">
        <v>72</v>
      </c>
      <c r="AE23" s="106" t="s">
        <v>29</v>
      </c>
      <c r="AF23" s="106"/>
      <c r="AG23" s="99"/>
      <c r="AH23" s="106"/>
      <c r="AI23" s="106"/>
      <c r="AJ23" s="106"/>
      <c r="AK23" s="99"/>
      <c r="AL23" s="100">
        <f t="shared" si="11"/>
        <v>230</v>
      </c>
      <c r="AM23" s="101">
        <f t="shared" si="12"/>
        <v>46</v>
      </c>
      <c r="AN23" s="100">
        <f t="shared" si="13"/>
        <v>17</v>
      </c>
      <c r="AO23" s="102">
        <f t="shared" si="14"/>
        <v>0</v>
      </c>
      <c r="AP23" s="102">
        <f t="shared" si="15"/>
        <v>1</v>
      </c>
      <c r="AQ23" s="102">
        <f t="shared" si="16"/>
        <v>0</v>
      </c>
      <c r="AR23" s="102">
        <f t="shared" si="17"/>
        <v>1</v>
      </c>
      <c r="AS23" s="102">
        <f t="shared" si="1"/>
        <v>6</v>
      </c>
    </row>
    <row r="24" s="2" customFormat="1" ht="16.5" customHeight="1" spans="1:45">
      <c r="A24" s="24">
        <v>17</v>
      </c>
      <c r="B24" s="94" t="s">
        <v>528</v>
      </c>
      <c r="C24" s="95" t="s">
        <v>512</v>
      </c>
      <c r="D24" s="105">
        <v>50</v>
      </c>
      <c r="E24" s="28" t="str">
        <f t="shared" si="2"/>
        <v>C</v>
      </c>
      <c r="F24" s="29"/>
      <c r="G24" s="41" t="str">
        <f t="shared" si="3"/>
        <v>W</v>
      </c>
      <c r="H24" s="29"/>
      <c r="I24" s="29" t="str">
        <f t="shared" si="4"/>
        <v>W</v>
      </c>
      <c r="J24" s="105">
        <v>35</v>
      </c>
      <c r="K24" s="41" t="str">
        <f t="shared" si="5"/>
        <v>W</v>
      </c>
      <c r="L24" s="41">
        <v>49</v>
      </c>
      <c r="M24" s="41" t="str">
        <f t="shared" si="6"/>
        <v>S</v>
      </c>
      <c r="N24" s="29"/>
      <c r="O24" s="41" t="str">
        <f t="shared" si="7"/>
        <v>W</v>
      </c>
      <c r="P24" s="51"/>
      <c r="Q24" s="43" t="str">
        <f t="shared" si="0"/>
        <v>W</v>
      </c>
      <c r="R24" s="51"/>
      <c r="S24" s="43"/>
      <c r="T24" s="103"/>
      <c r="U24" s="104"/>
      <c r="V24" s="43">
        <v>46</v>
      </c>
      <c r="W24" s="43" t="str">
        <f>IF(V24&gt;=75,"A",IF(V24&gt;=65,"B",IF(V24&gt;=50,"C",IF(V24&gt;=36,"S","W"))))</f>
        <v>S</v>
      </c>
      <c r="X24" s="52">
        <v>67</v>
      </c>
      <c r="Y24" s="44" t="str">
        <f t="shared" si="9"/>
        <v>B</v>
      </c>
      <c r="Z24" s="52"/>
      <c r="AA24" s="44"/>
      <c r="AB24" s="52"/>
      <c r="AC24" s="44"/>
      <c r="AD24" s="106"/>
      <c r="AE24" s="106"/>
      <c r="AF24" s="106">
        <v>44</v>
      </c>
      <c r="AG24" s="99" t="str">
        <f t="shared" si="21"/>
        <v>S</v>
      </c>
      <c r="AH24" s="106"/>
      <c r="AI24" s="106"/>
      <c r="AJ24" s="106"/>
      <c r="AK24" s="99"/>
      <c r="AL24" s="100">
        <f t="shared" si="11"/>
        <v>245</v>
      </c>
      <c r="AM24" s="101">
        <f t="shared" si="12"/>
        <v>49</v>
      </c>
      <c r="AN24" s="100">
        <f t="shared" si="13"/>
        <v>11</v>
      </c>
      <c r="AO24" s="102">
        <f t="shared" si="14"/>
        <v>0</v>
      </c>
      <c r="AP24" s="102">
        <f t="shared" si="15"/>
        <v>1</v>
      </c>
      <c r="AQ24" s="102">
        <f t="shared" si="16"/>
        <v>1</v>
      </c>
      <c r="AR24" s="102">
        <f t="shared" si="17"/>
        <v>3</v>
      </c>
      <c r="AS24" s="102">
        <f t="shared" ref="AS24:AS42" si="22">COUNTIF(D24:AK24,"W")</f>
        <v>5</v>
      </c>
    </row>
    <row r="25" s="2" customFormat="1" ht="16.9" customHeight="1" spans="1:45">
      <c r="A25" s="39">
        <v>18</v>
      </c>
      <c r="B25" s="94" t="s">
        <v>529</v>
      </c>
      <c r="C25" s="95" t="s">
        <v>512</v>
      </c>
      <c r="D25" s="105">
        <v>17</v>
      </c>
      <c r="E25" s="28" t="str">
        <f t="shared" si="2"/>
        <v>W</v>
      </c>
      <c r="F25" s="29"/>
      <c r="G25" s="41" t="str">
        <f t="shared" si="3"/>
        <v>W</v>
      </c>
      <c r="H25" s="29"/>
      <c r="I25" s="29" t="str">
        <f t="shared" si="4"/>
        <v>W</v>
      </c>
      <c r="J25" s="105">
        <v>9</v>
      </c>
      <c r="K25" s="41" t="str">
        <f t="shared" si="5"/>
        <v>W</v>
      </c>
      <c r="L25" s="41">
        <v>18</v>
      </c>
      <c r="M25" s="41" t="str">
        <f t="shared" si="6"/>
        <v>W</v>
      </c>
      <c r="N25" s="29"/>
      <c r="O25" s="41" t="str">
        <f t="shared" si="7"/>
        <v>W</v>
      </c>
      <c r="P25" s="51"/>
      <c r="Q25" s="43" t="str">
        <f t="shared" si="0"/>
        <v>W</v>
      </c>
      <c r="R25" s="51">
        <v>31</v>
      </c>
      <c r="S25" s="43" t="str">
        <f t="shared" si="8"/>
        <v>W</v>
      </c>
      <c r="T25" s="103"/>
      <c r="U25" s="104"/>
      <c r="V25" s="43"/>
      <c r="W25" s="43"/>
      <c r="X25" s="52">
        <v>38</v>
      </c>
      <c r="Y25" s="44" t="str">
        <f t="shared" si="9"/>
        <v>S</v>
      </c>
      <c r="Z25" s="52"/>
      <c r="AA25" s="44"/>
      <c r="AB25" s="52"/>
      <c r="AC25" s="44"/>
      <c r="AD25" s="106">
        <v>43</v>
      </c>
      <c r="AE25" s="99" t="str">
        <f t="shared" si="10"/>
        <v>S</v>
      </c>
      <c r="AF25" s="106"/>
      <c r="AG25" s="99"/>
      <c r="AH25" s="106"/>
      <c r="AI25" s="106"/>
      <c r="AJ25" s="106"/>
      <c r="AK25" s="99"/>
      <c r="AL25" s="100">
        <f t="shared" si="11"/>
        <v>156</v>
      </c>
      <c r="AM25" s="101">
        <f t="shared" si="12"/>
        <v>26</v>
      </c>
      <c r="AN25" s="100">
        <f t="shared" si="13"/>
        <v>27</v>
      </c>
      <c r="AO25" s="102">
        <f t="shared" si="14"/>
        <v>0</v>
      </c>
      <c r="AP25" s="102">
        <f t="shared" si="15"/>
        <v>0</v>
      </c>
      <c r="AQ25" s="102">
        <f t="shared" si="16"/>
        <v>0</v>
      </c>
      <c r="AR25" s="102">
        <f t="shared" si="17"/>
        <v>2</v>
      </c>
      <c r="AS25" s="102">
        <f t="shared" si="22"/>
        <v>8</v>
      </c>
    </row>
    <row r="26" s="2" customFormat="1" ht="16.9" customHeight="1" spans="1:45">
      <c r="A26" s="24">
        <v>19</v>
      </c>
      <c r="B26" s="94" t="s">
        <v>530</v>
      </c>
      <c r="C26" s="95" t="s">
        <v>512</v>
      </c>
      <c r="D26" s="105">
        <v>23</v>
      </c>
      <c r="E26" s="28" t="str">
        <f t="shared" si="2"/>
        <v>W</v>
      </c>
      <c r="F26" s="29"/>
      <c r="G26" s="41" t="str">
        <f t="shared" si="3"/>
        <v>W</v>
      </c>
      <c r="H26" s="29"/>
      <c r="I26" s="29" t="str">
        <f t="shared" si="4"/>
        <v>W</v>
      </c>
      <c r="J26" s="105">
        <v>30</v>
      </c>
      <c r="K26" s="41" t="str">
        <f t="shared" si="5"/>
        <v>W</v>
      </c>
      <c r="L26" s="41">
        <v>34</v>
      </c>
      <c r="M26" s="41" t="str">
        <f t="shared" si="6"/>
        <v>W</v>
      </c>
      <c r="N26" s="29"/>
      <c r="O26" s="41" t="str">
        <f t="shared" si="7"/>
        <v>W</v>
      </c>
      <c r="P26" s="51"/>
      <c r="Q26" s="43" t="str">
        <f t="shared" si="0"/>
        <v>W</v>
      </c>
      <c r="R26" s="51"/>
      <c r="S26" s="43"/>
      <c r="T26" s="103"/>
      <c r="U26" s="104"/>
      <c r="V26" s="43"/>
      <c r="W26" s="43"/>
      <c r="X26" s="52">
        <v>43</v>
      </c>
      <c r="Y26" s="44" t="str">
        <f t="shared" si="9"/>
        <v>S</v>
      </c>
      <c r="Z26" s="52"/>
      <c r="AA26" s="44"/>
      <c r="AB26" s="52"/>
      <c r="AC26" s="44"/>
      <c r="AD26" s="106">
        <v>41</v>
      </c>
      <c r="AE26" s="99" t="str">
        <f t="shared" si="10"/>
        <v>S</v>
      </c>
      <c r="AF26" s="106"/>
      <c r="AG26" s="99"/>
      <c r="AH26" s="106"/>
      <c r="AI26" s="106"/>
      <c r="AJ26" s="106"/>
      <c r="AK26" s="99"/>
      <c r="AL26" s="100">
        <f t="shared" si="11"/>
        <v>171</v>
      </c>
      <c r="AM26" s="101">
        <f t="shared" si="12"/>
        <v>34.2</v>
      </c>
      <c r="AN26" s="100">
        <f t="shared" si="13"/>
        <v>26</v>
      </c>
      <c r="AO26" s="102">
        <f t="shared" si="14"/>
        <v>0</v>
      </c>
      <c r="AP26" s="102">
        <f t="shared" si="15"/>
        <v>0</v>
      </c>
      <c r="AQ26" s="102">
        <f t="shared" si="16"/>
        <v>0</v>
      </c>
      <c r="AR26" s="102">
        <f t="shared" si="17"/>
        <v>2</v>
      </c>
      <c r="AS26" s="102">
        <f t="shared" si="22"/>
        <v>7</v>
      </c>
    </row>
    <row r="27" s="2" customFormat="1" ht="16.9" customHeight="1" spans="1:45">
      <c r="A27" s="39">
        <v>20</v>
      </c>
      <c r="B27" s="94" t="s">
        <v>531</v>
      </c>
      <c r="C27" s="95" t="s">
        <v>512</v>
      </c>
      <c r="D27" s="105">
        <v>38</v>
      </c>
      <c r="E27" s="28" t="str">
        <f t="shared" si="2"/>
        <v>S</v>
      </c>
      <c r="F27" s="29"/>
      <c r="G27" s="41" t="str">
        <f t="shared" si="3"/>
        <v>W</v>
      </c>
      <c r="H27" s="29"/>
      <c r="I27" s="29" t="str">
        <f t="shared" si="4"/>
        <v>W</v>
      </c>
      <c r="J27" s="105">
        <v>33</v>
      </c>
      <c r="K27" s="41" t="str">
        <f t="shared" si="5"/>
        <v>W</v>
      </c>
      <c r="L27" s="41">
        <v>28</v>
      </c>
      <c r="M27" s="41" t="str">
        <f t="shared" si="6"/>
        <v>W</v>
      </c>
      <c r="N27" s="29"/>
      <c r="O27" s="41" t="str">
        <f t="shared" si="7"/>
        <v>W</v>
      </c>
      <c r="P27" s="51"/>
      <c r="Q27" s="43" t="str">
        <f t="shared" si="0"/>
        <v>W</v>
      </c>
      <c r="R27" s="51"/>
      <c r="S27" s="43"/>
      <c r="T27" s="103"/>
      <c r="U27" s="104"/>
      <c r="V27" s="43"/>
      <c r="W27" s="43"/>
      <c r="X27" s="52"/>
      <c r="Y27" s="44"/>
      <c r="Z27" s="52">
        <v>49</v>
      </c>
      <c r="AA27" s="44" t="str">
        <f t="shared" si="18"/>
        <v>S</v>
      </c>
      <c r="AB27" s="52"/>
      <c r="AC27" s="44"/>
      <c r="AD27" s="106"/>
      <c r="AE27" s="106"/>
      <c r="AF27" s="106"/>
      <c r="AG27" s="99"/>
      <c r="AH27" s="106"/>
      <c r="AI27" s="106"/>
      <c r="AJ27" s="106">
        <v>38</v>
      </c>
      <c r="AK27" s="99" t="str">
        <f>IF(AJ27&gt;=75,"A",IF(AJ27&gt;=65,"B",IF(AJ27&gt;=50,"C",IF(AJ27&gt;=36,"S","W"))))</f>
        <v>S</v>
      </c>
      <c r="AL27" s="100">
        <f t="shared" si="11"/>
        <v>148</v>
      </c>
      <c r="AM27" s="101">
        <f t="shared" si="12"/>
        <v>37</v>
      </c>
      <c r="AN27" s="100">
        <f t="shared" si="13"/>
        <v>28</v>
      </c>
      <c r="AO27" s="102">
        <f t="shared" si="14"/>
        <v>0</v>
      </c>
      <c r="AP27" s="102">
        <f t="shared" si="15"/>
        <v>0</v>
      </c>
      <c r="AQ27" s="102">
        <f t="shared" si="16"/>
        <v>0</v>
      </c>
      <c r="AR27" s="102">
        <f t="shared" si="17"/>
        <v>3</v>
      </c>
      <c r="AS27" s="102">
        <f t="shared" si="22"/>
        <v>6</v>
      </c>
    </row>
    <row r="28" s="2" customFormat="1" ht="16.9" customHeight="1" spans="1:45">
      <c r="A28" s="24">
        <v>21</v>
      </c>
      <c r="B28" s="94" t="s">
        <v>532</v>
      </c>
      <c r="C28" s="95" t="s">
        <v>512</v>
      </c>
      <c r="D28" s="105">
        <v>62</v>
      </c>
      <c r="E28" s="28" t="str">
        <f t="shared" si="2"/>
        <v>C</v>
      </c>
      <c r="F28" s="29"/>
      <c r="G28" s="41" t="str">
        <f t="shared" si="3"/>
        <v>W</v>
      </c>
      <c r="H28" s="29"/>
      <c r="I28" s="29" t="str">
        <f t="shared" si="4"/>
        <v>W</v>
      </c>
      <c r="J28" s="105">
        <v>45</v>
      </c>
      <c r="K28" s="41" t="str">
        <f t="shared" si="5"/>
        <v>S</v>
      </c>
      <c r="L28" s="41">
        <v>38</v>
      </c>
      <c r="M28" s="41" t="str">
        <f t="shared" si="6"/>
        <v>S</v>
      </c>
      <c r="N28" s="29"/>
      <c r="O28" s="41" t="str">
        <f t="shared" si="7"/>
        <v>W</v>
      </c>
      <c r="P28" s="51"/>
      <c r="Q28" s="43" t="str">
        <f t="shared" si="0"/>
        <v>W</v>
      </c>
      <c r="R28" s="51"/>
      <c r="S28" s="43"/>
      <c r="T28" s="103"/>
      <c r="U28" s="104"/>
      <c r="V28" s="43"/>
      <c r="W28" s="43"/>
      <c r="X28" s="52"/>
      <c r="Y28" s="44"/>
      <c r="Z28" s="52"/>
      <c r="AA28" s="44"/>
      <c r="AB28" s="52">
        <v>69</v>
      </c>
      <c r="AC28" s="44" t="str">
        <f t="shared" si="20"/>
        <v>B</v>
      </c>
      <c r="AD28" s="106">
        <v>78</v>
      </c>
      <c r="AE28" s="99" t="str">
        <f t="shared" si="10"/>
        <v>A</v>
      </c>
      <c r="AF28" s="106"/>
      <c r="AG28" s="99"/>
      <c r="AH28" s="106"/>
      <c r="AI28" s="106"/>
      <c r="AJ28" s="106"/>
      <c r="AK28" s="99"/>
      <c r="AL28" s="100">
        <f t="shared" si="11"/>
        <v>292</v>
      </c>
      <c r="AM28" s="101">
        <f t="shared" si="12"/>
        <v>58.4</v>
      </c>
      <c r="AN28" s="100">
        <f t="shared" si="13"/>
        <v>5</v>
      </c>
      <c r="AO28" s="102">
        <f t="shared" si="14"/>
        <v>1</v>
      </c>
      <c r="AP28" s="102">
        <f t="shared" si="15"/>
        <v>1</v>
      </c>
      <c r="AQ28" s="102">
        <f t="shared" si="16"/>
        <v>1</v>
      </c>
      <c r="AR28" s="102">
        <f t="shared" si="17"/>
        <v>2</v>
      </c>
      <c r="AS28" s="102">
        <f t="shared" si="22"/>
        <v>4</v>
      </c>
    </row>
    <row r="29" s="2" customFormat="1" ht="16.9" customHeight="1" spans="1:45">
      <c r="A29" s="39">
        <v>22</v>
      </c>
      <c r="B29" s="94" t="s">
        <v>533</v>
      </c>
      <c r="C29" s="95" t="s">
        <v>512</v>
      </c>
      <c r="D29" s="105">
        <v>66</v>
      </c>
      <c r="E29" s="28" t="str">
        <f t="shared" si="2"/>
        <v>B</v>
      </c>
      <c r="F29" s="29"/>
      <c r="G29" s="41" t="str">
        <f t="shared" si="3"/>
        <v>W</v>
      </c>
      <c r="H29" s="29"/>
      <c r="I29" s="29" t="str">
        <f t="shared" si="4"/>
        <v>W</v>
      </c>
      <c r="J29" s="105">
        <v>36</v>
      </c>
      <c r="K29" s="41" t="str">
        <f t="shared" si="5"/>
        <v>S</v>
      </c>
      <c r="L29" s="41">
        <v>37</v>
      </c>
      <c r="M29" s="41" t="str">
        <f t="shared" si="6"/>
        <v>S</v>
      </c>
      <c r="N29" s="29"/>
      <c r="O29" s="41" t="str">
        <f t="shared" si="7"/>
        <v>W</v>
      </c>
      <c r="P29" s="51"/>
      <c r="Q29" s="43" t="str">
        <f t="shared" si="0"/>
        <v>W</v>
      </c>
      <c r="R29" s="51"/>
      <c r="S29" s="43"/>
      <c r="T29" s="103"/>
      <c r="U29" s="104"/>
      <c r="V29" s="43"/>
      <c r="W29" s="43"/>
      <c r="X29" s="52"/>
      <c r="Y29" s="44"/>
      <c r="Z29" s="52">
        <v>80</v>
      </c>
      <c r="AA29" s="44" t="str">
        <f t="shared" si="18"/>
        <v>A</v>
      </c>
      <c r="AB29" s="52"/>
      <c r="AC29" s="44"/>
      <c r="AD29" s="106">
        <v>79</v>
      </c>
      <c r="AE29" s="99" t="str">
        <f t="shared" si="10"/>
        <v>A</v>
      </c>
      <c r="AF29" s="106"/>
      <c r="AG29" s="99"/>
      <c r="AH29" s="106"/>
      <c r="AI29" s="106"/>
      <c r="AJ29" s="106"/>
      <c r="AK29" s="99"/>
      <c r="AL29" s="100">
        <f t="shared" si="11"/>
        <v>298</v>
      </c>
      <c r="AM29" s="101">
        <f t="shared" si="12"/>
        <v>59.6</v>
      </c>
      <c r="AN29" s="100">
        <f t="shared" si="13"/>
        <v>4</v>
      </c>
      <c r="AO29" s="102">
        <f t="shared" si="14"/>
        <v>2</v>
      </c>
      <c r="AP29" s="102">
        <f t="shared" si="15"/>
        <v>1</v>
      </c>
      <c r="AQ29" s="102">
        <f t="shared" si="16"/>
        <v>0</v>
      </c>
      <c r="AR29" s="102">
        <f t="shared" si="17"/>
        <v>2</v>
      </c>
      <c r="AS29" s="102">
        <f t="shared" si="22"/>
        <v>4</v>
      </c>
    </row>
    <row r="30" s="2" customFormat="1" ht="16.5" customHeight="1" spans="1:45">
      <c r="A30" s="24">
        <v>23</v>
      </c>
      <c r="B30" s="94" t="s">
        <v>534</v>
      </c>
      <c r="C30" s="95" t="s">
        <v>512</v>
      </c>
      <c r="D30" s="105">
        <v>43</v>
      </c>
      <c r="E30" s="28" t="str">
        <f t="shared" si="2"/>
        <v>S</v>
      </c>
      <c r="F30" s="29"/>
      <c r="G30" s="41" t="str">
        <f t="shared" si="3"/>
        <v>W</v>
      </c>
      <c r="H30" s="29"/>
      <c r="I30" s="29" t="str">
        <f t="shared" si="4"/>
        <v>W</v>
      </c>
      <c r="J30" s="105">
        <v>15</v>
      </c>
      <c r="K30" s="41" t="str">
        <f t="shared" si="5"/>
        <v>W</v>
      </c>
      <c r="L30" s="41">
        <v>16</v>
      </c>
      <c r="M30" s="41" t="str">
        <f t="shared" si="6"/>
        <v>W</v>
      </c>
      <c r="N30" s="29"/>
      <c r="O30" s="41" t="str">
        <f t="shared" si="7"/>
        <v>W</v>
      </c>
      <c r="P30" s="51"/>
      <c r="Q30" s="43" t="str">
        <f t="shared" si="0"/>
        <v>W</v>
      </c>
      <c r="R30" s="51"/>
      <c r="S30" s="43"/>
      <c r="T30" s="103"/>
      <c r="U30" s="104"/>
      <c r="V30" s="43"/>
      <c r="W30" s="43"/>
      <c r="X30" s="52"/>
      <c r="Y30" s="44"/>
      <c r="Z30" s="52">
        <v>50</v>
      </c>
      <c r="AA30" s="44" t="str">
        <f t="shared" si="18"/>
        <v>C</v>
      </c>
      <c r="AB30" s="52"/>
      <c r="AC30" s="44"/>
      <c r="AD30" s="106">
        <v>66</v>
      </c>
      <c r="AE30" s="99" t="str">
        <f t="shared" si="10"/>
        <v>B</v>
      </c>
      <c r="AF30" s="106"/>
      <c r="AG30" s="99"/>
      <c r="AH30" s="106"/>
      <c r="AI30" s="106"/>
      <c r="AJ30" s="106"/>
      <c r="AK30" s="99"/>
      <c r="AL30" s="100">
        <f t="shared" si="11"/>
        <v>190</v>
      </c>
      <c r="AM30" s="101">
        <f t="shared" si="12"/>
        <v>38</v>
      </c>
      <c r="AN30" s="100">
        <f t="shared" si="13"/>
        <v>25</v>
      </c>
      <c r="AO30" s="102">
        <f t="shared" si="14"/>
        <v>0</v>
      </c>
      <c r="AP30" s="102">
        <f t="shared" si="15"/>
        <v>1</v>
      </c>
      <c r="AQ30" s="102">
        <f t="shared" si="16"/>
        <v>1</v>
      </c>
      <c r="AR30" s="102">
        <f t="shared" si="17"/>
        <v>1</v>
      </c>
      <c r="AS30" s="102">
        <f t="shared" si="22"/>
        <v>6</v>
      </c>
    </row>
    <row r="31" s="2" customFormat="1" ht="16.9" customHeight="1" spans="1:45">
      <c r="A31" s="39">
        <v>24</v>
      </c>
      <c r="B31" s="94" t="s">
        <v>535</v>
      </c>
      <c r="C31" s="95" t="s">
        <v>512</v>
      </c>
      <c r="D31" s="105">
        <v>76</v>
      </c>
      <c r="E31" s="28" t="str">
        <f t="shared" si="2"/>
        <v>A</v>
      </c>
      <c r="F31" s="29"/>
      <c r="G31" s="41" t="str">
        <f t="shared" si="3"/>
        <v>W</v>
      </c>
      <c r="H31" s="29"/>
      <c r="I31" s="29" t="str">
        <f t="shared" si="4"/>
        <v>W</v>
      </c>
      <c r="J31" s="105">
        <v>52</v>
      </c>
      <c r="K31" s="41" t="str">
        <f t="shared" si="5"/>
        <v>C</v>
      </c>
      <c r="L31" s="41">
        <v>50</v>
      </c>
      <c r="M31" s="41" t="str">
        <f t="shared" si="6"/>
        <v>C</v>
      </c>
      <c r="N31" s="29"/>
      <c r="O31" s="41" t="str">
        <f t="shared" si="7"/>
        <v>W</v>
      </c>
      <c r="P31" s="51"/>
      <c r="Q31" s="43" t="str">
        <f t="shared" si="0"/>
        <v>W</v>
      </c>
      <c r="R31" s="51"/>
      <c r="S31" s="43"/>
      <c r="T31" s="103"/>
      <c r="U31" s="104"/>
      <c r="V31" s="43"/>
      <c r="W31" s="43"/>
      <c r="X31" s="52"/>
      <c r="Y31" s="44"/>
      <c r="Z31" s="52">
        <v>79</v>
      </c>
      <c r="AA31" s="44" t="str">
        <f t="shared" si="18"/>
        <v>A</v>
      </c>
      <c r="AB31" s="52"/>
      <c r="AC31" s="44"/>
      <c r="AD31" s="106">
        <v>85</v>
      </c>
      <c r="AE31" s="99" t="str">
        <f t="shared" si="10"/>
        <v>A</v>
      </c>
      <c r="AF31" s="106"/>
      <c r="AG31" s="99"/>
      <c r="AH31" s="106"/>
      <c r="AI31" s="106"/>
      <c r="AJ31" s="106"/>
      <c r="AK31" s="99"/>
      <c r="AL31" s="100">
        <f t="shared" si="11"/>
        <v>342</v>
      </c>
      <c r="AM31" s="101">
        <f t="shared" si="12"/>
        <v>68.4</v>
      </c>
      <c r="AN31" s="100">
        <f t="shared" si="13"/>
        <v>1</v>
      </c>
      <c r="AO31" s="102">
        <f t="shared" si="14"/>
        <v>3</v>
      </c>
      <c r="AP31" s="102">
        <f t="shared" si="15"/>
        <v>0</v>
      </c>
      <c r="AQ31" s="102">
        <f t="shared" si="16"/>
        <v>2</v>
      </c>
      <c r="AR31" s="102">
        <f t="shared" si="17"/>
        <v>0</v>
      </c>
      <c r="AS31" s="102">
        <f t="shared" si="22"/>
        <v>4</v>
      </c>
    </row>
    <row r="32" s="2" customFormat="1" ht="16.5" customHeight="1" spans="1:45">
      <c r="A32" s="24">
        <v>25</v>
      </c>
      <c r="B32" s="94" t="s">
        <v>536</v>
      </c>
      <c r="C32" s="95" t="s">
        <v>512</v>
      </c>
      <c r="D32" s="105">
        <v>53</v>
      </c>
      <c r="E32" s="28" t="str">
        <f t="shared" si="2"/>
        <v>C</v>
      </c>
      <c r="F32" s="29"/>
      <c r="G32" s="41" t="str">
        <f t="shared" si="3"/>
        <v>W</v>
      </c>
      <c r="H32" s="29"/>
      <c r="I32" s="29" t="str">
        <f t="shared" si="4"/>
        <v>W</v>
      </c>
      <c r="J32" s="105">
        <v>46</v>
      </c>
      <c r="K32" s="41" t="str">
        <f t="shared" si="5"/>
        <v>S</v>
      </c>
      <c r="L32" s="41">
        <v>11</v>
      </c>
      <c r="M32" s="41" t="str">
        <f t="shared" si="6"/>
        <v>W</v>
      </c>
      <c r="N32" s="29"/>
      <c r="O32" s="41" t="str">
        <f t="shared" si="7"/>
        <v>W</v>
      </c>
      <c r="P32" s="51"/>
      <c r="Q32" s="43" t="str">
        <f t="shared" si="0"/>
        <v>W</v>
      </c>
      <c r="R32" s="51"/>
      <c r="S32" s="43"/>
      <c r="T32" s="103"/>
      <c r="U32" s="104"/>
      <c r="V32" s="43"/>
      <c r="W32" s="43"/>
      <c r="X32" s="52"/>
      <c r="Y32" s="44"/>
      <c r="Z32" s="52"/>
      <c r="AA32" s="44"/>
      <c r="AB32" s="52">
        <v>77</v>
      </c>
      <c r="AC32" s="44" t="str">
        <f t="shared" si="20"/>
        <v>A</v>
      </c>
      <c r="AD32" s="106"/>
      <c r="AE32" s="106"/>
      <c r="AF32" s="106">
        <v>28</v>
      </c>
      <c r="AG32" s="99" t="str">
        <f t="shared" si="21"/>
        <v>W</v>
      </c>
      <c r="AH32" s="106"/>
      <c r="AI32" s="106"/>
      <c r="AJ32" s="106"/>
      <c r="AK32" s="99"/>
      <c r="AL32" s="100">
        <f t="shared" si="11"/>
        <v>215</v>
      </c>
      <c r="AM32" s="101">
        <f t="shared" si="12"/>
        <v>43</v>
      </c>
      <c r="AN32" s="100">
        <f t="shared" si="13"/>
        <v>20</v>
      </c>
      <c r="AO32" s="102">
        <f t="shared" si="14"/>
        <v>1</v>
      </c>
      <c r="AP32" s="102">
        <f t="shared" si="15"/>
        <v>0</v>
      </c>
      <c r="AQ32" s="102">
        <f t="shared" si="16"/>
        <v>1</v>
      </c>
      <c r="AR32" s="102">
        <f t="shared" si="17"/>
        <v>1</v>
      </c>
      <c r="AS32" s="102">
        <f t="shared" si="22"/>
        <v>6</v>
      </c>
    </row>
    <row r="33" ht="16.9" customHeight="1" spans="1:49">
      <c r="A33" s="39">
        <v>26</v>
      </c>
      <c r="B33" s="94" t="s">
        <v>537</v>
      </c>
      <c r="C33" s="95" t="s">
        <v>512</v>
      </c>
      <c r="D33" s="105">
        <v>43</v>
      </c>
      <c r="E33" s="28" t="str">
        <f t="shared" si="2"/>
        <v>S</v>
      </c>
      <c r="F33" s="29"/>
      <c r="G33" s="41" t="str">
        <f t="shared" si="3"/>
        <v>W</v>
      </c>
      <c r="H33" s="29"/>
      <c r="I33" s="29" t="str">
        <f t="shared" si="4"/>
        <v>W</v>
      </c>
      <c r="J33" s="105">
        <v>35</v>
      </c>
      <c r="K33" s="41" t="str">
        <f t="shared" si="5"/>
        <v>W</v>
      </c>
      <c r="L33" s="41">
        <v>26</v>
      </c>
      <c r="M33" s="41" t="str">
        <f t="shared" si="6"/>
        <v>W</v>
      </c>
      <c r="N33" s="29"/>
      <c r="O33" s="41" t="str">
        <f t="shared" si="7"/>
        <v>W</v>
      </c>
      <c r="P33" s="51"/>
      <c r="Q33" s="43" t="str">
        <f t="shared" si="0"/>
        <v>W</v>
      </c>
      <c r="R33" s="51"/>
      <c r="S33" s="43"/>
      <c r="T33" s="103"/>
      <c r="U33" s="104"/>
      <c r="V33" s="43"/>
      <c r="W33" s="43"/>
      <c r="X33" s="52"/>
      <c r="Y33" s="44"/>
      <c r="Z33" s="52">
        <v>50</v>
      </c>
      <c r="AA33" s="44" t="str">
        <f t="shared" si="18"/>
        <v>C</v>
      </c>
      <c r="AB33" s="52"/>
      <c r="AC33" s="44"/>
      <c r="AD33" s="106">
        <v>77</v>
      </c>
      <c r="AE33" s="99" t="str">
        <f t="shared" si="10"/>
        <v>A</v>
      </c>
      <c r="AF33" s="106"/>
      <c r="AG33" s="99"/>
      <c r="AH33" s="106"/>
      <c r="AI33" s="106"/>
      <c r="AJ33" s="106"/>
      <c r="AK33" s="99"/>
      <c r="AL33" s="100">
        <f t="shared" si="11"/>
        <v>231</v>
      </c>
      <c r="AM33" s="101">
        <f t="shared" si="12"/>
        <v>46.2</v>
      </c>
      <c r="AN33" s="100">
        <f t="shared" si="13"/>
        <v>16</v>
      </c>
      <c r="AO33" s="102">
        <f t="shared" si="14"/>
        <v>1</v>
      </c>
      <c r="AP33" s="102">
        <f t="shared" si="15"/>
        <v>0</v>
      </c>
      <c r="AQ33" s="102">
        <f t="shared" si="16"/>
        <v>1</v>
      </c>
      <c r="AR33" s="102">
        <f t="shared" si="17"/>
        <v>1</v>
      </c>
      <c r="AS33" s="102">
        <f t="shared" si="22"/>
        <v>6</v>
      </c>
      <c r="AW33" s="2"/>
    </row>
    <row r="34" ht="16.9" customHeight="1" spans="1:49">
      <c r="A34" s="24">
        <v>27</v>
      </c>
      <c r="B34" s="94" t="s">
        <v>538</v>
      </c>
      <c r="C34" s="95" t="s">
        <v>512</v>
      </c>
      <c r="D34" s="105">
        <v>60</v>
      </c>
      <c r="E34" s="28" t="str">
        <f t="shared" si="2"/>
        <v>C</v>
      </c>
      <c r="F34" s="29"/>
      <c r="G34" s="41" t="str">
        <f t="shared" si="3"/>
        <v>W</v>
      </c>
      <c r="H34" s="29"/>
      <c r="I34" s="29" t="str">
        <f t="shared" si="4"/>
        <v>W</v>
      </c>
      <c r="J34" s="105">
        <v>54</v>
      </c>
      <c r="K34" s="41" t="str">
        <f t="shared" si="5"/>
        <v>C</v>
      </c>
      <c r="L34" s="41">
        <v>42</v>
      </c>
      <c r="M34" s="41" t="str">
        <f t="shared" si="6"/>
        <v>S</v>
      </c>
      <c r="N34" s="29"/>
      <c r="O34" s="41" t="str">
        <f t="shared" si="7"/>
        <v>W</v>
      </c>
      <c r="P34" s="51"/>
      <c r="Q34" s="43" t="str">
        <f t="shared" si="0"/>
        <v>W</v>
      </c>
      <c r="R34" s="51"/>
      <c r="S34" s="43"/>
      <c r="T34" s="103"/>
      <c r="U34" s="104"/>
      <c r="V34" s="43"/>
      <c r="W34" s="43"/>
      <c r="X34" s="52"/>
      <c r="Y34" s="44"/>
      <c r="Z34" s="52">
        <v>83</v>
      </c>
      <c r="AA34" s="44" t="str">
        <f t="shared" si="18"/>
        <v>A</v>
      </c>
      <c r="AB34" s="52"/>
      <c r="AC34" s="44"/>
      <c r="AD34" s="106">
        <v>89</v>
      </c>
      <c r="AE34" s="99" t="str">
        <f t="shared" si="10"/>
        <v>A</v>
      </c>
      <c r="AF34" s="106"/>
      <c r="AG34" s="99"/>
      <c r="AH34" s="106"/>
      <c r="AI34" s="106"/>
      <c r="AJ34" s="106"/>
      <c r="AK34" s="99"/>
      <c r="AL34" s="100">
        <f t="shared" si="11"/>
        <v>328</v>
      </c>
      <c r="AM34" s="101">
        <f t="shared" si="12"/>
        <v>65.6</v>
      </c>
      <c r="AN34" s="100">
        <f t="shared" si="13"/>
        <v>3</v>
      </c>
      <c r="AO34" s="102">
        <f t="shared" si="14"/>
        <v>2</v>
      </c>
      <c r="AP34" s="102">
        <f t="shared" si="15"/>
        <v>0</v>
      </c>
      <c r="AQ34" s="102">
        <f t="shared" si="16"/>
        <v>2</v>
      </c>
      <c r="AR34" s="102">
        <f t="shared" si="17"/>
        <v>1</v>
      </c>
      <c r="AS34" s="102">
        <f t="shared" si="22"/>
        <v>4</v>
      </c>
    </row>
    <row r="35" ht="16.9" customHeight="1" spans="1:49">
      <c r="A35" s="39">
        <v>28</v>
      </c>
      <c r="B35" s="94" t="s">
        <v>539</v>
      </c>
      <c r="C35" s="95" t="s">
        <v>512</v>
      </c>
      <c r="D35" s="105">
        <v>37</v>
      </c>
      <c r="E35" s="28" t="str">
        <f t="shared" si="2"/>
        <v>S</v>
      </c>
      <c r="F35" s="29"/>
      <c r="G35" s="41" t="str">
        <f t="shared" si="3"/>
        <v>W</v>
      </c>
      <c r="H35" s="29"/>
      <c r="I35" s="29" t="str">
        <f t="shared" si="4"/>
        <v>W</v>
      </c>
      <c r="J35" s="105" t="s">
        <v>29</v>
      </c>
      <c r="K35" s="105" t="s">
        <v>29</v>
      </c>
      <c r="L35" s="41">
        <v>31</v>
      </c>
      <c r="M35" s="41" t="str">
        <f t="shared" si="6"/>
        <v>W</v>
      </c>
      <c r="N35" s="29"/>
      <c r="O35" s="41" t="str">
        <f t="shared" si="7"/>
        <v>W</v>
      </c>
      <c r="P35" s="51"/>
      <c r="Q35" s="43" t="str">
        <f t="shared" si="0"/>
        <v>W</v>
      </c>
      <c r="R35" s="51"/>
      <c r="S35" s="43"/>
      <c r="T35" s="103"/>
      <c r="U35" s="104"/>
      <c r="V35" s="43"/>
      <c r="W35" s="43"/>
      <c r="X35" s="52"/>
      <c r="Y35" s="44"/>
      <c r="Z35" s="52"/>
      <c r="AA35" s="44"/>
      <c r="AB35" s="52">
        <v>43</v>
      </c>
      <c r="AC35" s="44" t="str">
        <f t="shared" si="20"/>
        <v>S</v>
      </c>
      <c r="AD35" s="106" t="s">
        <v>29</v>
      </c>
      <c r="AE35" s="106" t="s">
        <v>29</v>
      </c>
      <c r="AF35" s="106"/>
      <c r="AG35" s="99"/>
      <c r="AH35" s="106"/>
      <c r="AI35" s="106"/>
      <c r="AJ35" s="106"/>
      <c r="AK35" s="99"/>
      <c r="AL35" s="100">
        <f t="shared" si="11"/>
        <v>111</v>
      </c>
      <c r="AM35" s="101">
        <f t="shared" si="12"/>
        <v>37</v>
      </c>
      <c r="AN35" s="100">
        <f t="shared" si="13"/>
        <v>32</v>
      </c>
      <c r="AO35" s="102">
        <f t="shared" si="14"/>
        <v>0</v>
      </c>
      <c r="AP35" s="102">
        <f t="shared" si="15"/>
        <v>0</v>
      </c>
      <c r="AQ35" s="102">
        <f t="shared" si="16"/>
        <v>0</v>
      </c>
      <c r="AR35" s="102">
        <f t="shared" si="17"/>
        <v>2</v>
      </c>
      <c r="AS35" s="102">
        <f t="shared" si="22"/>
        <v>5</v>
      </c>
    </row>
    <row r="36" ht="16.9" customHeight="1" spans="1:49">
      <c r="A36" s="24">
        <v>29</v>
      </c>
      <c r="B36" s="94" t="s">
        <v>540</v>
      </c>
      <c r="C36" s="95" t="s">
        <v>512</v>
      </c>
      <c r="D36" s="105">
        <v>49</v>
      </c>
      <c r="E36" s="28" t="str">
        <f t="shared" si="2"/>
        <v>S</v>
      </c>
      <c r="F36" s="29"/>
      <c r="G36" s="41" t="str">
        <f t="shared" si="3"/>
        <v>W</v>
      </c>
      <c r="H36" s="29"/>
      <c r="I36" s="29" t="str">
        <f t="shared" si="4"/>
        <v>W</v>
      </c>
      <c r="J36" s="105">
        <v>10</v>
      </c>
      <c r="K36" s="41" t="str">
        <f t="shared" si="5"/>
        <v>W</v>
      </c>
      <c r="L36" s="41">
        <v>38</v>
      </c>
      <c r="M36" s="41" t="str">
        <f t="shared" si="6"/>
        <v>S</v>
      </c>
      <c r="N36" s="29"/>
      <c r="O36" s="41" t="str">
        <f t="shared" si="7"/>
        <v>W</v>
      </c>
      <c r="P36" s="51"/>
      <c r="Q36" s="43" t="str">
        <f t="shared" si="0"/>
        <v>W</v>
      </c>
      <c r="R36" s="51"/>
      <c r="S36" s="43"/>
      <c r="T36" s="103"/>
      <c r="U36" s="104"/>
      <c r="V36" s="43"/>
      <c r="W36" s="43"/>
      <c r="X36" s="52"/>
      <c r="Y36" s="44"/>
      <c r="Z36" s="52">
        <v>67</v>
      </c>
      <c r="AA36" s="44" t="str">
        <f t="shared" si="18"/>
        <v>B</v>
      </c>
      <c r="AB36" s="52"/>
      <c r="AC36" s="44"/>
      <c r="AD36" s="106">
        <v>80</v>
      </c>
      <c r="AE36" s="99" t="str">
        <f t="shared" si="10"/>
        <v>A</v>
      </c>
      <c r="AF36" s="106"/>
      <c r="AG36" s="99"/>
      <c r="AH36" s="106"/>
      <c r="AI36" s="106"/>
      <c r="AJ36" s="106"/>
      <c r="AK36" s="99"/>
      <c r="AL36" s="100">
        <f t="shared" si="11"/>
        <v>244</v>
      </c>
      <c r="AM36" s="101">
        <f t="shared" si="12"/>
        <v>48.8</v>
      </c>
      <c r="AN36" s="100">
        <f t="shared" si="13"/>
        <v>12</v>
      </c>
      <c r="AO36" s="102">
        <f t="shared" si="14"/>
        <v>1</v>
      </c>
      <c r="AP36" s="102">
        <f t="shared" si="15"/>
        <v>1</v>
      </c>
      <c r="AQ36" s="102">
        <f t="shared" si="16"/>
        <v>0</v>
      </c>
      <c r="AR36" s="102">
        <f t="shared" si="17"/>
        <v>2</v>
      </c>
      <c r="AS36" s="102">
        <f t="shared" si="22"/>
        <v>5</v>
      </c>
    </row>
    <row r="37" ht="16.9" customHeight="1" spans="1:49">
      <c r="A37" s="39">
        <v>30</v>
      </c>
      <c r="B37" s="94" t="s">
        <v>541</v>
      </c>
      <c r="C37" s="95" t="s">
        <v>512</v>
      </c>
      <c r="D37" s="105">
        <v>55</v>
      </c>
      <c r="E37" s="28" t="str">
        <f t="shared" si="2"/>
        <v>C</v>
      </c>
      <c r="F37" s="29"/>
      <c r="G37" s="41" t="str">
        <f t="shared" si="3"/>
        <v>W</v>
      </c>
      <c r="H37" s="29"/>
      <c r="I37" s="29" t="str">
        <f t="shared" si="4"/>
        <v>W</v>
      </c>
      <c r="J37" s="105">
        <v>31</v>
      </c>
      <c r="K37" s="41" t="str">
        <f t="shared" si="5"/>
        <v>W</v>
      </c>
      <c r="L37" s="41">
        <v>23</v>
      </c>
      <c r="M37" s="41" t="str">
        <f t="shared" si="6"/>
        <v>W</v>
      </c>
      <c r="N37" s="29"/>
      <c r="O37" s="41" t="str">
        <f t="shared" si="7"/>
        <v>W</v>
      </c>
      <c r="P37" s="51"/>
      <c r="Q37" s="43" t="str">
        <f t="shared" si="0"/>
        <v>W</v>
      </c>
      <c r="R37" s="51"/>
      <c r="S37" s="43"/>
      <c r="T37" s="103"/>
      <c r="U37" s="104"/>
      <c r="V37" s="43"/>
      <c r="W37" s="43"/>
      <c r="X37" s="52"/>
      <c r="Y37" s="44"/>
      <c r="Z37" s="52">
        <v>67</v>
      </c>
      <c r="AA37" s="44" t="str">
        <f t="shared" si="18"/>
        <v>B</v>
      </c>
      <c r="AB37" s="52"/>
      <c r="AC37" s="44"/>
      <c r="AD37" s="106">
        <v>74</v>
      </c>
      <c r="AE37" s="99" t="str">
        <f t="shared" si="10"/>
        <v>B</v>
      </c>
      <c r="AF37" s="106"/>
      <c r="AG37" s="99"/>
      <c r="AH37" s="106"/>
      <c r="AI37" s="106"/>
      <c r="AJ37" s="106"/>
      <c r="AK37" s="99"/>
      <c r="AL37" s="100">
        <f t="shared" si="11"/>
        <v>250</v>
      </c>
      <c r="AM37" s="101">
        <f t="shared" si="12"/>
        <v>50</v>
      </c>
      <c r="AN37" s="100">
        <f t="shared" si="13"/>
        <v>10</v>
      </c>
      <c r="AO37" s="102">
        <f t="shared" si="14"/>
        <v>0</v>
      </c>
      <c r="AP37" s="102">
        <f t="shared" si="15"/>
        <v>2</v>
      </c>
      <c r="AQ37" s="102">
        <f t="shared" si="16"/>
        <v>1</v>
      </c>
      <c r="AR37" s="102">
        <f t="shared" si="17"/>
        <v>0</v>
      </c>
      <c r="AS37" s="102">
        <f t="shared" si="22"/>
        <v>6</v>
      </c>
    </row>
    <row r="38" ht="16.5" customHeight="1" spans="1:49">
      <c r="A38" s="24">
        <v>31</v>
      </c>
      <c r="B38" s="94" t="s">
        <v>542</v>
      </c>
      <c r="C38" s="95" t="s">
        <v>512</v>
      </c>
      <c r="D38" s="105" t="s">
        <v>29</v>
      </c>
      <c r="E38" s="105" t="s">
        <v>29</v>
      </c>
      <c r="F38" s="29"/>
      <c r="G38" s="41" t="str">
        <f t="shared" si="3"/>
        <v>W</v>
      </c>
      <c r="H38" s="29"/>
      <c r="I38" s="29" t="str">
        <f t="shared" si="4"/>
        <v>W</v>
      </c>
      <c r="J38" s="29" t="s">
        <v>29</v>
      </c>
      <c r="K38" s="29" t="s">
        <v>29</v>
      </c>
      <c r="L38" s="107"/>
      <c r="M38" s="41" t="str">
        <f t="shared" si="6"/>
        <v>W</v>
      </c>
      <c r="N38" s="29"/>
      <c r="O38" s="41" t="str">
        <f t="shared" si="7"/>
        <v>W</v>
      </c>
      <c r="P38" s="51"/>
      <c r="Q38" s="43" t="str">
        <f t="shared" si="0"/>
        <v>W</v>
      </c>
      <c r="R38" s="51"/>
      <c r="S38" s="43"/>
      <c r="T38" s="103"/>
      <c r="U38" s="104"/>
      <c r="V38" s="43"/>
      <c r="W38" s="43"/>
      <c r="X38" s="52" t="s">
        <v>29</v>
      </c>
      <c r="Y38" s="44" t="s">
        <v>29</v>
      </c>
      <c r="Z38" s="52"/>
      <c r="AA38" s="44"/>
      <c r="AB38" s="52"/>
      <c r="AC38" s="44"/>
      <c r="AD38" s="106"/>
      <c r="AE38" s="106"/>
      <c r="AF38" s="106"/>
      <c r="AG38" s="99"/>
      <c r="AH38" s="106"/>
      <c r="AI38" s="106"/>
      <c r="AJ38" s="106"/>
      <c r="AK38" s="99"/>
      <c r="AL38" s="100">
        <f t="shared" si="11"/>
        <v>0</v>
      </c>
      <c r="AM38" s="101" t="e">
        <f t="shared" si="12"/>
        <v>#DIV/0!</v>
      </c>
      <c r="AN38" s="100">
        <f t="shared" si="13"/>
        <v>35</v>
      </c>
      <c r="AO38" s="102">
        <f t="shared" si="14"/>
        <v>0</v>
      </c>
      <c r="AP38" s="102">
        <f t="shared" si="15"/>
        <v>0</v>
      </c>
      <c r="AQ38" s="102">
        <f t="shared" si="16"/>
        <v>0</v>
      </c>
      <c r="AR38" s="102">
        <f t="shared" si="17"/>
        <v>0</v>
      </c>
      <c r="AS38" s="102">
        <f t="shared" si="22"/>
        <v>5</v>
      </c>
    </row>
    <row r="39" ht="16.9" customHeight="1" spans="1:49">
      <c r="A39" s="39">
        <v>32</v>
      </c>
      <c r="B39" s="94" t="s">
        <v>543</v>
      </c>
      <c r="C39" s="95" t="s">
        <v>512</v>
      </c>
      <c r="D39" s="105">
        <v>56</v>
      </c>
      <c r="E39" s="28" t="str">
        <f t="shared" si="2"/>
        <v>C</v>
      </c>
      <c r="F39" s="29"/>
      <c r="G39" s="41" t="str">
        <f t="shared" si="3"/>
        <v>W</v>
      </c>
      <c r="H39" s="29"/>
      <c r="I39" s="29" t="str">
        <f t="shared" si="4"/>
        <v>W</v>
      </c>
      <c r="J39" s="105">
        <v>33</v>
      </c>
      <c r="K39" s="41" t="str">
        <f t="shared" si="5"/>
        <v>W</v>
      </c>
      <c r="L39" s="107"/>
      <c r="M39" s="41" t="str">
        <f t="shared" si="6"/>
        <v>W</v>
      </c>
      <c r="N39" s="29"/>
      <c r="O39" s="41" t="str">
        <f t="shared" si="7"/>
        <v>W</v>
      </c>
      <c r="P39" s="51"/>
      <c r="Q39" s="43" t="str">
        <f t="shared" si="0"/>
        <v>W</v>
      </c>
      <c r="R39" s="51"/>
      <c r="S39" s="43"/>
      <c r="T39" s="103"/>
      <c r="U39" s="104"/>
      <c r="V39" s="43"/>
      <c r="W39" s="43"/>
      <c r="X39" s="52"/>
      <c r="Y39" s="44"/>
      <c r="Z39" s="52">
        <v>87</v>
      </c>
      <c r="AA39" s="44" t="str">
        <f>IF(Z39&gt;=75,"A",IF(Z39&gt;=65,"B",IF(Z39&gt;=50,"C",IF(Z39&gt;=36,"S","W"))))</f>
        <v>A</v>
      </c>
      <c r="AB39" s="52"/>
      <c r="AC39" s="44"/>
      <c r="AD39" s="106">
        <v>79</v>
      </c>
      <c r="AE39" s="99" t="str">
        <f t="shared" si="10"/>
        <v>A</v>
      </c>
      <c r="AF39" s="106"/>
      <c r="AG39" s="99"/>
      <c r="AH39" s="106"/>
      <c r="AI39" s="106"/>
      <c r="AJ39" s="106"/>
      <c r="AK39" s="99"/>
      <c r="AL39" s="100">
        <f t="shared" si="11"/>
        <v>255</v>
      </c>
      <c r="AM39" s="101">
        <f t="shared" si="12"/>
        <v>63.75</v>
      </c>
      <c r="AN39" s="100">
        <f t="shared" si="13"/>
        <v>9</v>
      </c>
      <c r="AO39" s="102">
        <f t="shared" si="14"/>
        <v>2</v>
      </c>
      <c r="AP39" s="102">
        <f t="shared" si="15"/>
        <v>0</v>
      </c>
      <c r="AQ39" s="102">
        <f t="shared" si="16"/>
        <v>1</v>
      </c>
      <c r="AR39" s="102">
        <f t="shared" si="17"/>
        <v>0</v>
      </c>
      <c r="AS39" s="102">
        <f t="shared" si="22"/>
        <v>6</v>
      </c>
    </row>
    <row r="40" ht="16.9" customHeight="1" spans="1:49">
      <c r="A40" s="24">
        <v>33</v>
      </c>
      <c r="B40" s="94" t="s">
        <v>544</v>
      </c>
      <c r="C40" s="95" t="s">
        <v>512</v>
      </c>
      <c r="D40" s="105">
        <v>70</v>
      </c>
      <c r="E40" s="28" t="str">
        <f t="shared" si="2"/>
        <v>B</v>
      </c>
      <c r="F40" s="29"/>
      <c r="G40" s="41" t="str">
        <f t="shared" si="3"/>
        <v>W</v>
      </c>
      <c r="H40" s="29"/>
      <c r="I40" s="29" t="str">
        <f t="shared" si="4"/>
        <v>W</v>
      </c>
      <c r="J40" s="105">
        <v>47</v>
      </c>
      <c r="K40" s="41" t="str">
        <f t="shared" si="5"/>
        <v>S</v>
      </c>
      <c r="L40" s="107"/>
      <c r="M40" s="41" t="str">
        <f t="shared" si="6"/>
        <v>W</v>
      </c>
      <c r="N40" s="29"/>
      <c r="O40" s="41" t="str">
        <f t="shared" si="7"/>
        <v>W</v>
      </c>
      <c r="P40" s="51"/>
      <c r="Q40" s="43" t="str">
        <f t="shared" si="0"/>
        <v>W</v>
      </c>
      <c r="R40" s="51"/>
      <c r="S40" s="43"/>
      <c r="T40" s="103"/>
      <c r="U40" s="104"/>
      <c r="V40" s="43"/>
      <c r="W40" s="43"/>
      <c r="X40" s="52">
        <v>70</v>
      </c>
      <c r="Y40" s="44" t="str">
        <f t="shared" si="9"/>
        <v>B</v>
      </c>
      <c r="Z40" s="52"/>
      <c r="AA40" s="44"/>
      <c r="AB40" s="52"/>
      <c r="AC40" s="44"/>
      <c r="AD40" s="106">
        <v>80</v>
      </c>
      <c r="AE40" s="99" t="str">
        <f t="shared" si="10"/>
        <v>A</v>
      </c>
      <c r="AF40" s="106"/>
      <c r="AG40" s="99"/>
      <c r="AH40" s="106"/>
      <c r="AI40" s="106"/>
      <c r="AJ40" s="106"/>
      <c r="AK40" s="99"/>
      <c r="AL40" s="100">
        <f t="shared" si="11"/>
        <v>267</v>
      </c>
      <c r="AM40" s="101">
        <f t="shared" si="12"/>
        <v>66.75</v>
      </c>
      <c r="AN40" s="100">
        <f t="shared" si="13"/>
        <v>7</v>
      </c>
      <c r="AO40" s="102">
        <f t="shared" si="14"/>
        <v>1</v>
      </c>
      <c r="AP40" s="102">
        <f t="shared" si="15"/>
        <v>2</v>
      </c>
      <c r="AQ40" s="102">
        <f t="shared" si="16"/>
        <v>0</v>
      </c>
      <c r="AR40" s="102">
        <f t="shared" si="17"/>
        <v>1</v>
      </c>
      <c r="AS40" s="102">
        <f t="shared" si="22"/>
        <v>5</v>
      </c>
    </row>
    <row r="41" ht="16.9" customHeight="1" spans="1:49">
      <c r="A41" s="39">
        <v>34</v>
      </c>
      <c r="B41" s="94" t="s">
        <v>545</v>
      </c>
      <c r="C41" s="95" t="s">
        <v>512</v>
      </c>
      <c r="D41" s="105">
        <v>64</v>
      </c>
      <c r="E41" s="28" t="str">
        <f t="shared" si="2"/>
        <v>C</v>
      </c>
      <c r="F41" s="29"/>
      <c r="G41" s="41" t="str">
        <f t="shared" si="3"/>
        <v>W</v>
      </c>
      <c r="H41" s="29"/>
      <c r="I41" s="29" t="str">
        <f t="shared" si="4"/>
        <v>W</v>
      </c>
      <c r="J41" s="105">
        <v>35</v>
      </c>
      <c r="K41" s="41" t="str">
        <f t="shared" si="5"/>
        <v>W</v>
      </c>
      <c r="L41" s="107"/>
      <c r="M41" s="41" t="str">
        <f t="shared" si="6"/>
        <v>W</v>
      </c>
      <c r="N41" s="29"/>
      <c r="O41" s="41" t="str">
        <f t="shared" si="7"/>
        <v>W</v>
      </c>
      <c r="P41" s="51"/>
      <c r="Q41" s="43" t="str">
        <f t="shared" si="0"/>
        <v>W</v>
      </c>
      <c r="R41" s="51"/>
      <c r="S41" s="43"/>
      <c r="T41" s="103"/>
      <c r="U41" s="104"/>
      <c r="V41" s="43"/>
      <c r="W41" s="43"/>
      <c r="X41" s="52">
        <v>62</v>
      </c>
      <c r="Y41" s="44" t="str">
        <f t="shared" si="9"/>
        <v>C</v>
      </c>
      <c r="Z41" s="52"/>
      <c r="AA41" s="44"/>
      <c r="AB41" s="52"/>
      <c r="AC41" s="44"/>
      <c r="AD41" s="106">
        <v>81</v>
      </c>
      <c r="AE41" s="99" t="str">
        <f t="shared" si="10"/>
        <v>A</v>
      </c>
      <c r="AF41" s="106"/>
      <c r="AG41" s="99"/>
      <c r="AH41" s="106"/>
      <c r="AI41" s="106"/>
      <c r="AJ41" s="106"/>
      <c r="AK41" s="99"/>
      <c r="AL41" s="100">
        <f t="shared" si="11"/>
        <v>242</v>
      </c>
      <c r="AM41" s="101">
        <f t="shared" si="12"/>
        <v>60.5</v>
      </c>
      <c r="AN41" s="100">
        <f t="shared" si="13"/>
        <v>13</v>
      </c>
      <c r="AO41" s="102">
        <f t="shared" si="14"/>
        <v>1</v>
      </c>
      <c r="AP41" s="102">
        <f t="shared" si="15"/>
        <v>0</v>
      </c>
      <c r="AQ41" s="102">
        <f t="shared" si="16"/>
        <v>2</v>
      </c>
      <c r="AR41" s="102">
        <f t="shared" si="17"/>
        <v>0</v>
      </c>
      <c r="AS41" s="102">
        <f t="shared" si="22"/>
        <v>6</v>
      </c>
    </row>
    <row r="42" ht="16.9" customHeight="1" spans="1:49">
      <c r="A42" s="24">
        <v>35</v>
      </c>
      <c r="B42" s="94" t="s">
        <v>546</v>
      </c>
      <c r="C42" s="95" t="s">
        <v>512</v>
      </c>
      <c r="D42" s="105">
        <v>47</v>
      </c>
      <c r="E42" s="28" t="str">
        <f t="shared" si="2"/>
        <v>S</v>
      </c>
      <c r="F42" s="29"/>
      <c r="G42" s="41" t="str">
        <f t="shared" si="3"/>
        <v>W</v>
      </c>
      <c r="H42" s="29"/>
      <c r="I42" s="29" t="str">
        <f t="shared" si="4"/>
        <v>W</v>
      </c>
      <c r="J42" s="105">
        <v>21</v>
      </c>
      <c r="K42" s="41" t="str">
        <f t="shared" si="5"/>
        <v>W</v>
      </c>
      <c r="L42" s="107"/>
      <c r="M42" s="41" t="str">
        <f t="shared" si="6"/>
        <v>W</v>
      </c>
      <c r="N42" s="29"/>
      <c r="O42" s="41" t="str">
        <f t="shared" si="7"/>
        <v>W</v>
      </c>
      <c r="P42" s="51"/>
      <c r="Q42" s="43" t="str">
        <f t="shared" si="0"/>
        <v>W</v>
      </c>
      <c r="R42" s="51"/>
      <c r="S42" s="43"/>
      <c r="T42" s="108"/>
      <c r="U42" s="109"/>
      <c r="V42" s="43">
        <v>35</v>
      </c>
      <c r="W42" s="43" t="str">
        <f t="shared" si="19"/>
        <v>W</v>
      </c>
      <c r="X42" s="52"/>
      <c r="Y42" s="44"/>
      <c r="Z42" s="52"/>
      <c r="AA42" s="44"/>
      <c r="AB42" s="52">
        <v>51</v>
      </c>
      <c r="AC42" s="44" t="str">
        <f t="shared" si="20"/>
        <v>C</v>
      </c>
      <c r="AD42" s="106">
        <v>72</v>
      </c>
      <c r="AE42" s="99" t="str">
        <f t="shared" si="10"/>
        <v>B</v>
      </c>
      <c r="AF42" s="106"/>
      <c r="AG42" s="99"/>
      <c r="AH42" s="106"/>
      <c r="AI42" s="106"/>
      <c r="AJ42" s="106"/>
      <c r="AK42" s="99"/>
      <c r="AL42" s="100">
        <f t="shared" si="11"/>
        <v>191</v>
      </c>
      <c r="AM42" s="101">
        <f t="shared" si="12"/>
        <v>47.75</v>
      </c>
      <c r="AN42" s="100">
        <f t="shared" si="13"/>
        <v>24</v>
      </c>
      <c r="AO42" s="102">
        <f t="shared" si="14"/>
        <v>0</v>
      </c>
      <c r="AP42" s="102">
        <f t="shared" si="15"/>
        <v>1</v>
      </c>
      <c r="AQ42" s="102">
        <f t="shared" si="16"/>
        <v>1</v>
      </c>
      <c r="AR42" s="102">
        <f t="shared" si="17"/>
        <v>1</v>
      </c>
      <c r="AS42" s="102">
        <f t="shared" si="22"/>
        <v>7</v>
      </c>
    </row>
    <row r="43" ht="16.9" customHeight="1" spans="1:49">
      <c r="A43" s="53" t="s">
        <v>62</v>
      </c>
      <c r="B43" s="54"/>
      <c r="C43" s="55"/>
      <c r="D43" s="56"/>
      <c r="E43" s="57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8"/>
      <c r="AM43" s="58"/>
      <c r="AN43" s="58"/>
      <c r="AO43" s="110"/>
      <c r="AP43" s="110"/>
      <c r="AQ43" s="110"/>
      <c r="AR43" s="110"/>
      <c r="AS43" s="59"/>
      <c r="AT43" s="60"/>
    </row>
    <row r="44" ht="16.9" customHeight="1" spans="1:49">
      <c r="A44" s="53" t="s">
        <v>63</v>
      </c>
      <c r="B44" s="54"/>
      <c r="C44" s="61" t="s">
        <v>24</v>
      </c>
      <c r="D44" s="56"/>
      <c r="E44" s="62">
        <f>COUNTIF($E$8:$E$42,"A")</f>
        <v>1</v>
      </c>
      <c r="F44" s="56"/>
      <c r="G44" s="63">
        <f>COUNTIF($G$8:$G$42,"A")</f>
        <v>0</v>
      </c>
      <c r="H44" s="56"/>
      <c r="I44" s="63">
        <f>COUNTIF($I$8:$I$42,"A")</f>
        <v>0</v>
      </c>
      <c r="J44" s="56"/>
      <c r="K44" s="63">
        <f>COUNTIF($K$8:$K$42,"A")</f>
        <v>0</v>
      </c>
      <c r="L44" s="63"/>
      <c r="M44" s="63">
        <f>COUNTIF($M$8:$M$42,"A")</f>
        <v>0</v>
      </c>
      <c r="N44" s="63"/>
      <c r="O44" s="63">
        <f>COUNTIF($O$8:$O$42,"A")</f>
        <v>0</v>
      </c>
      <c r="P44" s="63"/>
      <c r="Q44" s="63">
        <f>COUNTIF($Q$8:$Q$42,"A")</f>
        <v>0</v>
      </c>
      <c r="R44" s="56"/>
      <c r="S44" s="63">
        <f>COUNTIF($S$8:$S$42,"A")</f>
        <v>0</v>
      </c>
      <c r="T44" s="56"/>
      <c r="U44" s="63">
        <f>COUNTIF(U8:U42,"A")</f>
        <v>0</v>
      </c>
      <c r="V44" s="56"/>
      <c r="W44" s="63">
        <f>COUNTIF($W$8:$W$42,"A")</f>
        <v>0</v>
      </c>
      <c r="X44" s="56"/>
      <c r="Y44" s="63">
        <f>COUNTIF($Y$8:$Y$42,"A")</f>
        <v>0</v>
      </c>
      <c r="Z44" s="56"/>
      <c r="AA44" s="63">
        <f>COUNTIF($AA$8:$AA$42,"A")</f>
        <v>4</v>
      </c>
      <c r="AB44" s="56"/>
      <c r="AC44" s="63">
        <f>COUNTIF($AC$8:$AC$42,"A")</f>
        <v>2</v>
      </c>
      <c r="AD44" s="56"/>
      <c r="AE44" s="63">
        <f>COUNTIF($AE$8:$AE$42,"A")</f>
        <v>10</v>
      </c>
      <c r="AF44" s="56"/>
      <c r="AG44" s="56">
        <f>COUNTIF($AG$8:$AG$42,"A")</f>
        <v>0</v>
      </c>
      <c r="AH44" s="56"/>
      <c r="AI44" s="56">
        <f>COUNTIF($AI$8:$AI$42,"A")</f>
        <v>0</v>
      </c>
      <c r="AJ44" s="56"/>
      <c r="AK44" s="63">
        <f>COUNTIF($AK$8:$AK$42,"A")</f>
        <v>0</v>
      </c>
      <c r="AL44" s="64"/>
      <c r="AM44" s="64"/>
      <c r="AN44" s="64"/>
      <c r="AO44" s="110"/>
      <c r="AP44" s="110"/>
      <c r="AQ44" s="110"/>
      <c r="AR44" s="110"/>
      <c r="AS44" s="59"/>
      <c r="AT44" s="60"/>
    </row>
    <row r="45" ht="16.9" customHeight="1" spans="1:49">
      <c r="A45" s="53" t="s">
        <v>64</v>
      </c>
      <c r="B45" s="54"/>
      <c r="C45" s="55" t="s">
        <v>25</v>
      </c>
      <c r="D45" s="56"/>
      <c r="E45" s="62">
        <f>COUNTIF($E$8:$E$42,"B")</f>
        <v>2</v>
      </c>
      <c r="F45" s="56"/>
      <c r="G45" s="63">
        <f>COUNTIF($G$8:$G$42,"B")</f>
        <v>0</v>
      </c>
      <c r="H45" s="56"/>
      <c r="I45" s="63">
        <f>COUNTIF($I$8:$I$42,"B")</f>
        <v>0</v>
      </c>
      <c r="J45" s="56"/>
      <c r="K45" s="63">
        <f>COUNTIF($K$8:$K$42,"B")</f>
        <v>0</v>
      </c>
      <c r="L45" s="56"/>
      <c r="M45" s="63">
        <f>COUNTIF($M$8:$M$42,"B")</f>
        <v>0</v>
      </c>
      <c r="N45" s="56"/>
      <c r="O45" s="63">
        <f>COUNTIF($O$8:$O$42,"B")</f>
        <v>0</v>
      </c>
      <c r="P45" s="56"/>
      <c r="Q45" s="63">
        <f>COUNTIF($Q$8:$Q$42,"B")</f>
        <v>0</v>
      </c>
      <c r="R45" s="56"/>
      <c r="S45" s="63">
        <f>COUNTIF($S$8:$S$42,"B")</f>
        <v>0</v>
      </c>
      <c r="T45" s="56"/>
      <c r="U45" s="63">
        <f>COUNTIF(U8:U42,"B")</f>
        <v>0</v>
      </c>
      <c r="V45" s="56"/>
      <c r="W45" s="63">
        <f>COUNTIF($W$8:$W$42,"B")</f>
        <v>0</v>
      </c>
      <c r="X45" s="56"/>
      <c r="Y45" s="63">
        <f>COUNTIF($Y$8:$Y$42,"B")</f>
        <v>3</v>
      </c>
      <c r="Z45" s="56"/>
      <c r="AA45" s="63">
        <f>COUNTIF($AA$8:$AA$42,"B")</f>
        <v>2</v>
      </c>
      <c r="AB45" s="56"/>
      <c r="AC45" s="63">
        <f>COUNTIF($AC$8:$AC$42,"B")</f>
        <v>2</v>
      </c>
      <c r="AD45" s="56"/>
      <c r="AE45" s="63">
        <f>COUNTIF($AE$8:$AE$42,"B")</f>
        <v>7</v>
      </c>
      <c r="AF45" s="56"/>
      <c r="AG45" s="56">
        <f>COUNTIF($AG$8:$AG$42,"B")</f>
        <v>0</v>
      </c>
      <c r="AH45" s="56"/>
      <c r="AI45" s="56">
        <f>COUNTIF($AI$8:$AI$42,"B")</f>
        <v>0</v>
      </c>
      <c r="AJ45" s="56"/>
      <c r="AK45" s="63">
        <f>COUNTIF($AK$8:$AK$42,"B")</f>
        <v>0</v>
      </c>
      <c r="AL45" s="64"/>
      <c r="AM45" s="64"/>
      <c r="AN45" s="64"/>
      <c r="AO45" s="110"/>
      <c r="AP45" s="110"/>
      <c r="AQ45" s="110"/>
      <c r="AR45" s="110"/>
      <c r="AS45" s="110"/>
    </row>
    <row r="46" ht="16.9" customHeight="1" spans="1:49">
      <c r="A46" s="53" t="s">
        <v>65</v>
      </c>
      <c r="B46" s="54"/>
      <c r="C46" s="55" t="s">
        <v>26</v>
      </c>
      <c r="D46" s="56"/>
      <c r="E46" s="62">
        <f>COUNTIF($E$8:$E$42,"C")</f>
        <v>10</v>
      </c>
      <c r="F46" s="56"/>
      <c r="G46" s="63">
        <f>COUNTIF($G$8:$G$42,"C")</f>
        <v>0</v>
      </c>
      <c r="H46" s="56"/>
      <c r="I46" s="63">
        <f>COUNTIF($I$8:$I$42,"C")</f>
        <v>0</v>
      </c>
      <c r="J46" s="56"/>
      <c r="K46" s="63">
        <f>COUNTIF($K$8:$K$42,"C")</f>
        <v>2</v>
      </c>
      <c r="L46" s="56"/>
      <c r="M46" s="63">
        <f>COUNTIF($M$8:$M$42,"C")</f>
        <v>1</v>
      </c>
      <c r="N46" s="56"/>
      <c r="O46" s="63">
        <f>COUNTIF($O$8:$O$42,"C")</f>
        <v>0</v>
      </c>
      <c r="P46" s="56"/>
      <c r="Q46" s="63">
        <f>COUNTIF($Q$8:$Q$42,"C")</f>
        <v>0</v>
      </c>
      <c r="R46" s="56"/>
      <c r="S46" s="63">
        <f>COUNTIF($S$8:$S$42,"C")</f>
        <v>2</v>
      </c>
      <c r="T46" s="56"/>
      <c r="U46" s="63">
        <f>COUNTIF(U8:U42,"C")</f>
        <v>0</v>
      </c>
      <c r="V46" s="56"/>
      <c r="W46" s="63">
        <f>COUNTIF($W$8:$W$42,"C")</f>
        <v>1</v>
      </c>
      <c r="X46" s="56"/>
      <c r="Y46" s="63">
        <f>COUNTIF($Y$8:$Y$42,"C")</f>
        <v>3</v>
      </c>
      <c r="Z46" s="56"/>
      <c r="AA46" s="63">
        <f>COUNTIF($AA$8:$AA$42,"C")</f>
        <v>3</v>
      </c>
      <c r="AB46" s="56"/>
      <c r="AC46" s="63">
        <f>COUNTIF($AC$8:$AC$42,"C")</f>
        <v>3</v>
      </c>
      <c r="AD46" s="56"/>
      <c r="AE46" s="63">
        <f>COUNTIF($AE$8:$AE$42,"C")</f>
        <v>4</v>
      </c>
      <c r="AF46" s="56"/>
      <c r="AG46" s="56">
        <f>COUNTIF($AG$8:$AG$42,"C")</f>
        <v>0</v>
      </c>
      <c r="AH46" s="56"/>
      <c r="AI46" s="56">
        <f>COUNTIF($AI$8:$AI$42,"C")</f>
        <v>0</v>
      </c>
      <c r="AJ46" s="56"/>
      <c r="AK46" s="63">
        <f>COUNTIF($AK$8:$AK$42,"C")</f>
        <v>0</v>
      </c>
      <c r="AL46" s="64"/>
      <c r="AM46" s="64"/>
      <c r="AN46" s="64"/>
      <c r="AO46" s="110"/>
      <c r="AP46" s="110"/>
      <c r="AQ46" s="110"/>
      <c r="AR46" s="110"/>
      <c r="AS46" s="110"/>
    </row>
    <row r="47" ht="16.9" customHeight="1" spans="1:49">
      <c r="A47" s="53" t="s">
        <v>413</v>
      </c>
      <c r="B47" s="54"/>
      <c r="C47" s="55" t="s">
        <v>27</v>
      </c>
      <c r="D47" s="56"/>
      <c r="E47" s="62">
        <f>COUNTIF($E$8:$E$42,"S")</f>
        <v>10</v>
      </c>
      <c r="F47" s="56"/>
      <c r="G47" s="63">
        <f>COUNTIF($G$8:$G$42,"S")</f>
        <v>0</v>
      </c>
      <c r="H47" s="56"/>
      <c r="I47" s="63">
        <f>COUNTIF($I$8:$I$42,"S")</f>
        <v>0</v>
      </c>
      <c r="J47" s="56"/>
      <c r="K47" s="63">
        <f>COUNTIF($K$8:$K$42,"S")</f>
        <v>9</v>
      </c>
      <c r="L47" s="56"/>
      <c r="M47" s="63">
        <f>COUNTIF($M$8:$M$42,"S")</f>
        <v>14</v>
      </c>
      <c r="N47" s="56"/>
      <c r="O47" s="63">
        <f>COUNTIF($O$8:$O$42,"S")</f>
        <v>0</v>
      </c>
      <c r="P47" s="56"/>
      <c r="Q47" s="63">
        <f>COUNTIF($Q$8:$Q$42,"S")</f>
        <v>0</v>
      </c>
      <c r="R47" s="56"/>
      <c r="S47" s="63">
        <f>COUNTIF($S$8:$S$42,"S")</f>
        <v>2</v>
      </c>
      <c r="T47" s="56"/>
      <c r="U47" s="63">
        <f>COUNTIF(U8:U42,"S")</f>
        <v>0</v>
      </c>
      <c r="V47" s="56"/>
      <c r="W47" s="63">
        <f>COUNTIF($W$8:$W$42,"S")</f>
        <v>2</v>
      </c>
      <c r="X47" s="56"/>
      <c r="Y47" s="63">
        <f>COUNTIF($Y$8:$Y$42,"S")</f>
        <v>3</v>
      </c>
      <c r="Z47" s="56"/>
      <c r="AA47" s="63">
        <f>COUNTIF($AA$8:$AA$42,"S")</f>
        <v>2</v>
      </c>
      <c r="AB47" s="56"/>
      <c r="AC47" s="63">
        <f>COUNTIF($AC$8:$AC$42,"S")</f>
        <v>3</v>
      </c>
      <c r="AD47" s="56"/>
      <c r="AE47" s="63">
        <f>COUNTIF($AE$8:$AE$42,"S")</f>
        <v>2</v>
      </c>
      <c r="AF47" s="56"/>
      <c r="AG47" s="56">
        <f>COUNTIF($AG$8:$AG$42,"S")</f>
        <v>2</v>
      </c>
      <c r="AH47" s="56"/>
      <c r="AI47" s="56">
        <f>COUNTIF($AI$8:$AI$42,"S")</f>
        <v>0</v>
      </c>
      <c r="AJ47" s="56"/>
      <c r="AK47" s="63">
        <f>COUNTIF($AK$8:$AK$42,"S")</f>
        <v>1</v>
      </c>
      <c r="AL47" s="64"/>
      <c r="AM47" s="64"/>
      <c r="AN47" s="64"/>
      <c r="AO47" s="110"/>
      <c r="AP47" s="110"/>
      <c r="AQ47" s="110"/>
      <c r="AR47" s="110"/>
      <c r="AS47" s="110"/>
    </row>
    <row r="48" ht="16.9" customHeight="1" spans="1:49">
      <c r="A48" s="53" t="s">
        <v>414</v>
      </c>
      <c r="B48" s="54"/>
      <c r="C48" s="55" t="s">
        <v>28</v>
      </c>
      <c r="D48" s="56"/>
      <c r="E48" s="62">
        <f>COUNTIF($E$8:$E$42,"W")</f>
        <v>10</v>
      </c>
      <c r="F48" s="56"/>
      <c r="G48" s="63">
        <f>COUNTIF($G$8:$G$42,"W")</f>
        <v>35</v>
      </c>
      <c r="H48" s="56"/>
      <c r="I48" s="63">
        <f>COUNTIF($I$8:$I$42,"W")</f>
        <v>35</v>
      </c>
      <c r="J48" s="56"/>
      <c r="K48" s="63">
        <f>COUNTIF($K$8:$K$42,"W")</f>
        <v>22</v>
      </c>
      <c r="L48" s="56"/>
      <c r="M48" s="63">
        <f>COUNTIF($M$8:$M$42,"W")</f>
        <v>18</v>
      </c>
      <c r="N48" s="56"/>
      <c r="O48" s="63">
        <f>COUNTIF($O$8:$O$42,"W")</f>
        <v>35</v>
      </c>
      <c r="P48" s="56"/>
      <c r="Q48" s="63">
        <f>COUNTIF($Q$8:$Q$42,"W")</f>
        <v>35</v>
      </c>
      <c r="R48" s="56"/>
      <c r="S48" s="63">
        <f>COUNTIF($S$8:$S$42,"W")</f>
        <v>1</v>
      </c>
      <c r="T48" s="56"/>
      <c r="U48" s="63">
        <f>COUNTIF(U8:U42,"W")</f>
        <v>0</v>
      </c>
      <c r="V48" s="56"/>
      <c r="W48" s="63">
        <f>COUNTIF($W$8:$W$42,"W")</f>
        <v>1</v>
      </c>
      <c r="X48" s="56"/>
      <c r="Y48" s="63">
        <f>COUNTIF($Y$8:$Y$42,"W")</f>
        <v>0</v>
      </c>
      <c r="Z48" s="56"/>
      <c r="AA48" s="63">
        <f>COUNTIF($AA$8:$AA$42,"W")</f>
        <v>0</v>
      </c>
      <c r="AB48" s="56"/>
      <c r="AC48" s="63">
        <f>COUNTIF($AC$8:$AC$42,"W")</f>
        <v>0</v>
      </c>
      <c r="AD48" s="56"/>
      <c r="AE48" s="63">
        <f>COUNTIF($AE$8:$AE$42,"W")</f>
        <v>0</v>
      </c>
      <c r="AF48" s="56"/>
      <c r="AG48" s="56">
        <f>COUNTIF($AG$8:$AG$42,"W")</f>
        <v>1</v>
      </c>
      <c r="AH48" s="56"/>
      <c r="AI48" s="56">
        <f>COUNTIF($AI$8:$AI$42,"W")</f>
        <v>0</v>
      </c>
      <c r="AJ48" s="56"/>
      <c r="AK48" s="63">
        <f>COUNTIF($AK$8:$AK$42,"W")</f>
        <v>0</v>
      </c>
      <c r="AL48" s="64"/>
      <c r="AM48" s="64"/>
      <c r="AN48" s="64"/>
      <c r="AO48" s="110"/>
      <c r="AP48" s="110"/>
      <c r="AQ48" s="110"/>
      <c r="AR48" s="110"/>
      <c r="AS48" s="110"/>
    </row>
    <row r="49" ht="16.9" customHeight="1" spans="1:45">
      <c r="A49" s="53"/>
      <c r="B49" s="54"/>
      <c r="C49" s="55" t="s">
        <v>29</v>
      </c>
      <c r="D49" s="56"/>
      <c r="E49" s="62">
        <f>COUNTIF($E$8:$E$42,"AB")</f>
        <v>2</v>
      </c>
      <c r="F49" s="56"/>
      <c r="G49" s="63">
        <f>COUNTIF($G$8:$G$42,"AB")</f>
        <v>0</v>
      </c>
      <c r="H49" s="56"/>
      <c r="I49" s="63">
        <f>COUNTIF($I$8:$I$42,"AB")</f>
        <v>0</v>
      </c>
      <c r="J49" s="56"/>
      <c r="K49" s="63">
        <f>COUNTIF($K$8:$K$42,"AB")</f>
        <v>2</v>
      </c>
      <c r="L49" s="56"/>
      <c r="M49" s="63">
        <f>COUNTIF($M$8:$M$42,"AB")</f>
        <v>2</v>
      </c>
      <c r="N49" s="56"/>
      <c r="O49" s="63">
        <f>COUNTIF($O$8:$O$42,"AB")</f>
        <v>0</v>
      </c>
      <c r="P49" s="56"/>
      <c r="Q49" s="63">
        <f>COUNTIF($Q$8:$Q$42,"AB")</f>
        <v>0</v>
      </c>
      <c r="R49" s="56"/>
      <c r="S49" s="63">
        <f>COUNTIF($S$8:$S$42,"AB")</f>
        <v>1</v>
      </c>
      <c r="T49" s="56"/>
      <c r="U49" s="63">
        <f>COUNTIF(U8:U42,"AB")</f>
        <v>0</v>
      </c>
      <c r="V49" s="56"/>
      <c r="W49" s="63">
        <f>COUNTIF($W$8:$W$42,"AB")</f>
        <v>0</v>
      </c>
      <c r="X49" s="56"/>
      <c r="Y49" s="63">
        <f>COUNTIF($Y$8:$Y$42,"AB")</f>
        <v>5</v>
      </c>
      <c r="Z49" s="56"/>
      <c r="AA49" s="63">
        <f>COUNTIF($AA$8:$AA$42,"AB")</f>
        <v>0</v>
      </c>
      <c r="AB49" s="56"/>
      <c r="AC49" s="63">
        <f>COUNTIF($AC$8:$AC$42,"AB")</f>
        <v>0</v>
      </c>
      <c r="AD49" s="56"/>
      <c r="AE49" s="63">
        <f>COUNTIF($AE$8:$AE$42,"AB")</f>
        <v>5</v>
      </c>
      <c r="AF49" s="56"/>
      <c r="AG49" s="56">
        <f>COUNTIF($AG$8:$AG$42,"AB")</f>
        <v>0</v>
      </c>
      <c r="AH49" s="56"/>
      <c r="AI49" s="56">
        <f>COUNTIF($AI$8:$AI$42,"AB")</f>
        <v>1</v>
      </c>
      <c r="AJ49" s="56"/>
      <c r="AK49" s="63">
        <f>COUNTIF($AK$8:$AK$42,"AB")</f>
        <v>0</v>
      </c>
      <c r="AL49" s="64"/>
      <c r="AM49" s="64"/>
      <c r="AN49" s="64"/>
      <c r="AO49" s="110"/>
      <c r="AP49" s="110"/>
      <c r="AQ49" s="110"/>
      <c r="AR49" s="110"/>
      <c r="AS49" s="110"/>
    </row>
    <row r="50" ht="16.9" customHeight="1" spans="1:45">
      <c r="A50" s="65" t="s">
        <v>7</v>
      </c>
      <c r="B50" s="66"/>
      <c r="C50" s="67"/>
      <c r="D50" s="111"/>
      <c r="E50" s="66">
        <f>SUM(E44:E49)</f>
        <v>35</v>
      </c>
      <c r="F50" s="68"/>
      <c r="G50" s="69">
        <f>SUM(G44:G49)</f>
        <v>35</v>
      </c>
      <c r="H50" s="68"/>
      <c r="I50" s="69">
        <f>SUM(I44:I49)</f>
        <v>35</v>
      </c>
      <c r="J50" s="68"/>
      <c r="K50" s="69">
        <f>SUM(K44:K49)</f>
        <v>35</v>
      </c>
      <c r="L50" s="68"/>
      <c r="M50" s="69">
        <f>SUM(M44:M49)</f>
        <v>35</v>
      </c>
      <c r="N50" s="68"/>
      <c r="O50" s="69">
        <f>SUM(O44:O49)</f>
        <v>35</v>
      </c>
      <c r="P50" s="68"/>
      <c r="Q50" s="69">
        <f>SUM(Q44:Q49)</f>
        <v>35</v>
      </c>
      <c r="R50" s="68"/>
      <c r="S50" s="69">
        <f>SUM(S44:S49)</f>
        <v>6</v>
      </c>
      <c r="T50" s="68"/>
      <c r="U50" s="69">
        <f>SUM(U44:U49)</f>
        <v>0</v>
      </c>
      <c r="V50" s="68"/>
      <c r="W50" s="69">
        <f>SUM(W44:W49)</f>
        <v>4</v>
      </c>
      <c r="X50" s="68"/>
      <c r="Y50" s="69">
        <f>SUM(Y44:Y49)</f>
        <v>14</v>
      </c>
      <c r="Z50" s="68"/>
      <c r="AA50" s="69">
        <f>SUM(AA44:AA49)</f>
        <v>11</v>
      </c>
      <c r="AB50" s="68"/>
      <c r="AC50" s="69">
        <f>SUM(AC44:AC49)</f>
        <v>10</v>
      </c>
      <c r="AD50" s="68"/>
      <c r="AE50" s="69">
        <f>SUM(AE44:AE49)</f>
        <v>28</v>
      </c>
      <c r="AF50" s="68"/>
      <c r="AG50" s="68">
        <f>SUM(AG44:AG49)</f>
        <v>3</v>
      </c>
      <c r="AH50" s="68"/>
      <c r="AI50" s="68">
        <f>SUM(AI44:AI49)</f>
        <v>1</v>
      </c>
      <c r="AJ50" s="68"/>
      <c r="AK50" s="69">
        <f>SUM(AK44:AK49)</f>
        <v>1</v>
      </c>
      <c r="AL50" s="70"/>
      <c r="AM50" s="70"/>
      <c r="AN50" s="70"/>
      <c r="AO50" s="110"/>
      <c r="AP50" s="110"/>
      <c r="AQ50" s="110"/>
      <c r="AR50" s="110"/>
      <c r="AS50" s="110"/>
    </row>
    <row r="51" ht="16.9" customHeight="1" spans="1:45">
      <c r="A51" s="71"/>
      <c r="B51" s="72"/>
      <c r="C51" s="73"/>
      <c r="D51" s="74"/>
      <c r="E51" s="75"/>
      <c r="F51" s="74"/>
      <c r="G51" s="74"/>
      <c r="H51" s="74"/>
      <c r="I51" s="74"/>
      <c r="J51" s="74"/>
      <c r="K51" s="76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</row>
    <row r="52" ht="16.9" customHeight="1" spans="1:45">
      <c r="A52" s="47"/>
      <c r="B52" s="77"/>
      <c r="C52" s="78"/>
      <c r="D52" s="38"/>
      <c r="E52" s="79"/>
      <c r="F52" s="38"/>
      <c r="G52" s="38"/>
      <c r="H52" s="38"/>
      <c r="I52" s="38"/>
      <c r="J52" s="38"/>
      <c r="K52" s="80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</row>
    <row r="53" ht="16.9" customHeight="1"/>
    <row r="54" ht="16.9" customHeight="1"/>
    <row r="55" ht="16.9" customHeight="1"/>
    <row r="56" ht="16.9" customHeight="1"/>
  </sheetData>
  <mergeCells count="20">
    <mergeCell ref="A1:AK1"/>
    <mergeCell ref="A3:AS3"/>
    <mergeCell ref="A4:AS4"/>
    <mergeCell ref="D6:O6"/>
    <mergeCell ref="P6:W6"/>
    <mergeCell ref="X6:AC6"/>
    <mergeCell ref="AD6:AK6"/>
    <mergeCell ref="AO6:AS6"/>
    <mergeCell ref="A43:B43"/>
    <mergeCell ref="A44:B44"/>
    <mergeCell ref="A45:B45"/>
    <mergeCell ref="A46:B46"/>
    <mergeCell ref="A47:B47"/>
    <mergeCell ref="A48:B48"/>
    <mergeCell ref="A49:B49"/>
    <mergeCell ref="A50:B50"/>
    <mergeCell ref="A6:A7"/>
    <mergeCell ref="B6:B7"/>
    <mergeCell ref="C6:C7"/>
    <mergeCell ref="T8:U42"/>
  </mergeCells>
  <conditionalFormatting sqref="D8:D42 E38 E20">
    <cfRule type="expression" dxfId="0" priority="5">
      <formula>AND($B8*1&gt;=25,COUNTIF($C8:$AA8,"&gt;50")&lt;3)</formula>
    </cfRule>
    <cfRule type="expression" dxfId="1" priority="6">
      <formula>AND($B8*1&gt;=15,$B8*1&lt;25,$D8*1&gt;=25,COUNTIF($B8:$AA8,"&gt;=50")&gt;=3)</formula>
    </cfRule>
  </conditionalFormatting>
  <conditionalFormatting sqref="J8:J37 J39:J42 K35">
    <cfRule type="expression" dxfId="0" priority="1">
      <formula>AND($B8*1&gt;=25,COUNTIF($C8:$AA8,"&gt;50")&lt;3)</formula>
    </cfRule>
    <cfRule type="expression" dxfId="1" priority="2">
      <formula>AND($B8*1&gt;=15,$B8*1&lt;25,$D8*1&gt;=25,COUNTIF($B8:$AA8,"&gt;=50")&gt;=3)</formula>
    </cfRule>
  </conditionalFormatting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9"/>
  <sheetViews>
    <sheetView zoomScale="81" zoomScaleNormal="81" workbookViewId="0">
      <selection activeCell="A5" sqref="A5"/>
    </sheetView>
  </sheetViews>
  <sheetFormatPr defaultColWidth="9" defaultRowHeight="15.6"/>
  <cols>
    <col min="1" max="1" width="4.71296296296296" customWidth="1"/>
    <col min="2" max="2" width="39.287037037037" customWidth="1"/>
    <col min="3" max="3" width="5.85185185185185" customWidth="1"/>
    <col min="4" max="4" width="3.57407407407407" customWidth="1"/>
    <col min="5" max="5" width="4.28703703703704" customWidth="1"/>
    <col min="6" max="6" width="3.71296296296296" customWidth="1"/>
    <col min="7" max="7" width="4.28703703703704" customWidth="1"/>
    <col min="8" max="8" width="3.71296296296296" customWidth="1"/>
    <col min="9" max="9" width="4.28703703703704" customWidth="1"/>
    <col min="10" max="10" width="3.42592592592593" customWidth="1"/>
    <col min="11" max="11" width="3.42592592592593" style="1" customWidth="1"/>
    <col min="12" max="12" width="4.42592592592593" customWidth="1"/>
    <col min="13" max="13" width="4.28703703703704" customWidth="1"/>
    <col min="14" max="14" width="3.42592592592593" customWidth="1"/>
    <col min="15" max="15" width="4.28703703703704" customWidth="1"/>
    <col min="16" max="16" width="3.57407407407407" customWidth="1"/>
    <col min="17" max="17" width="4.28703703703704" customWidth="1"/>
    <col min="18" max="18" width="3.71296296296296" customWidth="1"/>
    <col min="19" max="21" width="4.28703703703704" customWidth="1"/>
    <col min="22" max="22" width="3.28703703703704" customWidth="1"/>
    <col min="23" max="23" width="4.28703703703704" customWidth="1"/>
    <col min="24" max="24" width="8" customWidth="1"/>
    <col min="25" max="25" width="8.71296296296296" customWidth="1"/>
    <col min="26" max="26" width="7" customWidth="1"/>
    <col min="27" max="27" width="2.28703703703704" customWidth="1"/>
    <col min="28" max="28" width="2" customWidth="1"/>
    <col min="29" max="30" width="2.57407407407407" customWidth="1"/>
    <col min="31" max="31" width="3.28703703703704" customWidth="1"/>
    <col min="32" max="32" width="5.71296296296296" style="2" customWidth="1"/>
    <col min="33" max="33" width="3.85185185185185" customWidth="1"/>
    <col min="34" max="34" width="3.71296296296296" customWidth="1"/>
  </cols>
  <sheetData>
    <row r="1" ht="25.8" spans="1:34">
      <c r="A1" s="3" t="s">
        <v>547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65" customHeight="1"/>
    <row r="3" ht="21" spans="1:34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ht="21" spans="1:34">
      <c r="A4" s="5" t="s">
        <v>548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6" customHeight="1" spans="1:34">
      <c r="A6" s="6" t="s">
        <v>3</v>
      </c>
      <c r="B6" s="7" t="s">
        <v>4</v>
      </c>
      <c r="C6" s="8" t="s">
        <v>5</v>
      </c>
      <c r="D6" s="9" t="s">
        <v>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10"/>
      <c r="AA6" s="11" t="s">
        <v>7</v>
      </c>
      <c r="AB6" s="12"/>
      <c r="AC6" s="12"/>
      <c r="AD6" s="12"/>
      <c r="AE6" s="12"/>
      <c r="AF6" s="12"/>
    </row>
    <row r="7" ht="89.45" customHeight="1" spans="1:34">
      <c r="A7" s="6"/>
      <c r="B7" s="6"/>
      <c r="C7" s="13"/>
      <c r="D7" s="14" t="s">
        <v>15</v>
      </c>
      <c r="E7" s="15"/>
      <c r="F7" s="14" t="s">
        <v>13</v>
      </c>
      <c r="G7" s="14"/>
      <c r="H7" s="14" t="s">
        <v>549</v>
      </c>
      <c r="I7" s="14"/>
      <c r="J7" s="14" t="s">
        <v>18</v>
      </c>
      <c r="K7" s="14"/>
      <c r="L7" s="14" t="s">
        <v>550</v>
      </c>
      <c r="M7" s="14"/>
      <c r="N7" s="14" t="s">
        <v>551</v>
      </c>
      <c r="O7" s="14"/>
      <c r="P7" s="16" t="s">
        <v>552</v>
      </c>
      <c r="Q7" s="16"/>
      <c r="R7" s="16" t="s">
        <v>553</v>
      </c>
      <c r="S7" s="16"/>
      <c r="T7" s="16" t="s">
        <v>554</v>
      </c>
      <c r="U7" s="16"/>
      <c r="V7" s="17" t="s">
        <v>555</v>
      </c>
      <c r="W7" s="17"/>
      <c r="X7" s="18" t="s">
        <v>7</v>
      </c>
      <c r="Y7" s="18" t="s">
        <v>22</v>
      </c>
      <c r="Z7" s="18" t="s">
        <v>23</v>
      </c>
      <c r="AA7" s="19" t="s">
        <v>24</v>
      </c>
      <c r="AB7" s="20" t="s">
        <v>25</v>
      </c>
      <c r="AC7" s="21" t="s">
        <v>26</v>
      </c>
      <c r="AD7" s="20" t="s">
        <v>27</v>
      </c>
      <c r="AE7" s="20" t="s">
        <v>28</v>
      </c>
      <c r="AF7" s="22" t="s">
        <v>29</v>
      </c>
      <c r="AG7" s="23" t="s">
        <v>556</v>
      </c>
      <c r="AH7" s="23" t="s">
        <v>557</v>
      </c>
    </row>
    <row r="8" ht="16.9" customHeight="1" spans="1:34">
      <c r="A8" s="24">
        <v>1</v>
      </c>
      <c r="B8" s="25" t="s">
        <v>558</v>
      </c>
      <c r="C8" s="26">
        <v>12</v>
      </c>
      <c r="D8" s="27">
        <v>24</v>
      </c>
      <c r="E8" s="28" t="str">
        <f>IF(D8&gt;=75,"A",IF(D8&gt;=65,"B",IF(D8&gt;=50,"C",IF(D8&gt;=36,"S","W"))))</f>
        <v>W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81"/>
      <c r="Q8" s="81"/>
      <c r="R8" s="81"/>
      <c r="S8" s="81"/>
      <c r="T8" s="81"/>
      <c r="U8" s="81"/>
      <c r="V8" s="82"/>
      <c r="W8" s="82"/>
      <c r="X8" s="34">
        <f>SUM(D8,F8,H8,J8,L8,N8,P8,R8,T8,V8,)</f>
        <v>24</v>
      </c>
      <c r="Y8" s="35">
        <f>X8/3</f>
        <v>8</v>
      </c>
      <c r="Z8" s="34">
        <f>RANK(X8,$X$8:$X$25,0)</f>
        <v>12</v>
      </c>
      <c r="AA8" s="36">
        <f t="shared" ref="AA8:AA25" si="0">COUNTIF(D8:W8,"A")</f>
        <v>0</v>
      </c>
      <c r="AB8" s="36">
        <f t="shared" ref="AB8:AB25" si="1">COUNTIF(D8:W8,"B")</f>
        <v>0</v>
      </c>
      <c r="AC8" s="36">
        <f t="shared" ref="AC8:AC25" si="2">COUNTIF(D8:W8,"C")</f>
        <v>0</v>
      </c>
      <c r="AD8" s="36">
        <f t="shared" ref="AD8:AD25" si="3">COUNTIF(E8:W8,"S")</f>
        <v>0</v>
      </c>
      <c r="AE8" s="36">
        <f t="shared" ref="AE8:AE25" si="4">COUNTIF(D8:W8,"W")</f>
        <v>1</v>
      </c>
      <c r="AF8" s="37">
        <f>(COUNTIF(D8:W8,"AB"))/2</f>
        <v>0</v>
      </c>
      <c r="AG8" s="38">
        <v>22</v>
      </c>
      <c r="AH8" s="38"/>
    </row>
    <row r="9" ht="16.9" customHeight="1" spans="1:34">
      <c r="A9" s="39">
        <v>2</v>
      </c>
      <c r="B9" s="40" t="s">
        <v>559</v>
      </c>
      <c r="C9" s="26">
        <v>12</v>
      </c>
      <c r="D9" s="41">
        <v>48</v>
      </c>
      <c r="E9" s="28" t="str">
        <f t="shared" ref="E9:E23" si="5">IF(D9&gt;=75,"A",IF(D9&gt;=65,"B",IF(D9&gt;=50,"C",IF(D9&gt;=36,"S","W"))))</f>
        <v>S</v>
      </c>
      <c r="F9" s="41"/>
      <c r="G9" s="28"/>
      <c r="H9" s="41"/>
      <c r="I9" s="28"/>
      <c r="J9" s="41"/>
      <c r="K9" s="28"/>
      <c r="L9" s="41"/>
      <c r="M9" s="28"/>
      <c r="N9" s="41"/>
      <c r="O9" s="28"/>
      <c r="P9" s="83">
        <v>62</v>
      </c>
      <c r="Q9" s="81" t="str">
        <f t="shared" ref="Q9" si="6">IF(P9&gt;=75,"A",IF(P9&gt;=65,"B",IF(P9&gt;=50,"C",IF(P9&gt;=36,"S","W"))))</f>
        <v>C</v>
      </c>
      <c r="R9" s="83"/>
      <c r="S9" s="84"/>
      <c r="T9" s="83"/>
      <c r="U9" s="84"/>
      <c r="V9" s="44"/>
      <c r="W9" s="82"/>
      <c r="X9" s="34">
        <f t="shared" ref="X9:X25" si="7">SUM(D9,F9,H9,J9,L9,N9,P9,R9,T9,V9,)</f>
        <v>110</v>
      </c>
      <c r="Y9" s="35">
        <f t="shared" ref="Y9:Y25" si="8">X9/3</f>
        <v>36.6666666666667</v>
      </c>
      <c r="Z9" s="34">
        <f t="shared" ref="Z9:Z25" si="9">RANK(X9,$X$8:$X$25,0)</f>
        <v>6</v>
      </c>
      <c r="AA9" s="36">
        <f t="shared" si="0"/>
        <v>0</v>
      </c>
      <c r="AB9" s="36">
        <f t="shared" si="1"/>
        <v>0</v>
      </c>
      <c r="AC9" s="36">
        <f t="shared" si="2"/>
        <v>1</v>
      </c>
      <c r="AD9" s="36">
        <f t="shared" si="3"/>
        <v>1</v>
      </c>
      <c r="AE9" s="36">
        <f t="shared" si="4"/>
        <v>0</v>
      </c>
      <c r="AF9" s="37">
        <f t="shared" ref="AF9:AF25" si="10">(COUNTIF(D9:W9,"AB"))/2</f>
        <v>0</v>
      </c>
      <c r="AG9" s="38">
        <v>14</v>
      </c>
      <c r="AH9" s="38"/>
    </row>
    <row r="10" ht="16.9" customHeight="1" spans="1:34">
      <c r="A10" s="24">
        <v>3</v>
      </c>
      <c r="B10" s="25" t="s">
        <v>560</v>
      </c>
      <c r="C10" s="26">
        <v>12</v>
      </c>
      <c r="D10" s="41">
        <v>25</v>
      </c>
      <c r="E10" s="28" t="str">
        <f t="shared" si="5"/>
        <v>W</v>
      </c>
      <c r="F10" s="45"/>
      <c r="G10" s="28"/>
      <c r="H10" s="45"/>
      <c r="I10" s="28"/>
      <c r="J10" s="41"/>
      <c r="K10" s="28"/>
      <c r="L10" s="41"/>
      <c r="M10" s="28"/>
      <c r="N10" s="41"/>
      <c r="O10" s="28"/>
      <c r="P10" s="83"/>
      <c r="Q10" s="81"/>
      <c r="R10" s="83"/>
      <c r="S10" s="84"/>
      <c r="T10" s="83"/>
      <c r="U10" s="84"/>
      <c r="V10" s="44"/>
      <c r="W10" s="82"/>
      <c r="X10" s="34">
        <f t="shared" si="7"/>
        <v>25</v>
      </c>
      <c r="Y10" s="35">
        <f t="shared" si="8"/>
        <v>8.33333333333333</v>
      </c>
      <c r="Z10" s="34">
        <f t="shared" si="9"/>
        <v>11</v>
      </c>
      <c r="AA10" s="36">
        <f t="shared" si="0"/>
        <v>0</v>
      </c>
      <c r="AB10" s="36">
        <f t="shared" si="1"/>
        <v>0</v>
      </c>
      <c r="AC10" s="36">
        <f t="shared" si="2"/>
        <v>0</v>
      </c>
      <c r="AD10" s="36">
        <f t="shared" si="3"/>
        <v>0</v>
      </c>
      <c r="AE10" s="36">
        <f t="shared" si="4"/>
        <v>1</v>
      </c>
      <c r="AF10" s="37">
        <f t="shared" si="10"/>
        <v>0</v>
      </c>
      <c r="AG10" s="38">
        <v>9</v>
      </c>
      <c r="AH10" s="38"/>
    </row>
    <row r="11" ht="16.9" customHeight="1" spans="1:34">
      <c r="A11" s="39">
        <v>4</v>
      </c>
      <c r="B11" s="40" t="s">
        <v>561</v>
      </c>
      <c r="C11" s="26">
        <v>12</v>
      </c>
      <c r="D11" s="46"/>
      <c r="E11" s="28"/>
      <c r="F11" s="45"/>
      <c r="G11" s="28"/>
      <c r="H11" s="45"/>
      <c r="I11" s="28"/>
      <c r="J11" s="41"/>
      <c r="K11" s="28"/>
      <c r="L11" s="41"/>
      <c r="M11" s="28"/>
      <c r="N11" s="41"/>
      <c r="O11" s="28"/>
      <c r="P11" s="83"/>
      <c r="Q11" s="81"/>
      <c r="R11" s="83"/>
      <c r="S11" s="84"/>
      <c r="T11" s="83"/>
      <c r="U11" s="84"/>
      <c r="V11" s="44"/>
      <c r="W11" s="82"/>
      <c r="X11" s="34">
        <f t="shared" si="7"/>
        <v>0</v>
      </c>
      <c r="Y11" s="35">
        <f t="shared" si="8"/>
        <v>0</v>
      </c>
      <c r="Z11" s="34">
        <f t="shared" si="9"/>
        <v>15</v>
      </c>
      <c r="AA11" s="36">
        <f t="shared" si="0"/>
        <v>0</v>
      </c>
      <c r="AB11" s="36">
        <f t="shared" si="1"/>
        <v>0</v>
      </c>
      <c r="AC11" s="36">
        <f t="shared" si="2"/>
        <v>0</v>
      </c>
      <c r="AD11" s="36">
        <f t="shared" si="3"/>
        <v>0</v>
      </c>
      <c r="AE11" s="36">
        <f t="shared" si="4"/>
        <v>0</v>
      </c>
      <c r="AF11" s="37">
        <f t="shared" si="10"/>
        <v>0</v>
      </c>
      <c r="AG11" s="47" t="s">
        <v>562</v>
      </c>
      <c r="AH11" s="38"/>
    </row>
    <row r="12" ht="16.9" customHeight="1" spans="1:34">
      <c r="A12" s="24">
        <v>5</v>
      </c>
      <c r="B12" s="25" t="s">
        <v>563</v>
      </c>
      <c r="C12" s="26">
        <v>12</v>
      </c>
      <c r="D12" s="41"/>
      <c r="E12" s="28"/>
      <c r="F12" s="41"/>
      <c r="G12" s="28"/>
      <c r="H12" s="41"/>
      <c r="I12" s="28"/>
      <c r="J12" s="41"/>
      <c r="K12" s="28"/>
      <c r="L12" s="41"/>
      <c r="M12" s="28"/>
      <c r="N12" s="41"/>
      <c r="O12" s="28"/>
      <c r="P12" s="83"/>
      <c r="Q12" s="81"/>
      <c r="R12" s="83"/>
      <c r="S12" s="84"/>
      <c r="T12" s="83"/>
      <c r="U12" s="84"/>
      <c r="V12" s="44"/>
      <c r="W12" s="82"/>
      <c r="X12" s="34">
        <f t="shared" si="7"/>
        <v>0</v>
      </c>
      <c r="Y12" s="35">
        <f t="shared" si="8"/>
        <v>0</v>
      </c>
      <c r="Z12" s="34">
        <f t="shared" si="9"/>
        <v>15</v>
      </c>
      <c r="AA12" s="36">
        <f t="shared" si="0"/>
        <v>0</v>
      </c>
      <c r="AB12" s="36">
        <f t="shared" si="1"/>
        <v>0</v>
      </c>
      <c r="AC12" s="36">
        <f t="shared" si="2"/>
        <v>0</v>
      </c>
      <c r="AD12" s="36">
        <f t="shared" si="3"/>
        <v>0</v>
      </c>
      <c r="AE12" s="36">
        <f t="shared" si="4"/>
        <v>0</v>
      </c>
      <c r="AF12" s="37">
        <f t="shared" si="10"/>
        <v>0</v>
      </c>
      <c r="AG12" s="38">
        <v>18</v>
      </c>
      <c r="AH12" s="38"/>
    </row>
    <row r="13" ht="16.9" customHeight="1" spans="1:34">
      <c r="A13" s="39">
        <v>6</v>
      </c>
      <c r="B13" s="40" t="s">
        <v>564</v>
      </c>
      <c r="C13" s="26">
        <v>12</v>
      </c>
      <c r="D13" s="41">
        <v>31</v>
      </c>
      <c r="E13" s="28" t="str">
        <f t="shared" si="5"/>
        <v>W</v>
      </c>
      <c r="F13" s="41"/>
      <c r="G13" s="28"/>
      <c r="H13" s="41">
        <v>55</v>
      </c>
      <c r="I13" s="28" t="str">
        <f t="shared" ref="I13" si="11">IF(H13&gt;=75,"A",IF(H13&gt;=65,"B",IF(H13&gt;=50,"C",IF(H13&gt;=36,"S","W"))))</f>
        <v>C</v>
      </c>
      <c r="J13" s="41"/>
      <c r="K13" s="28"/>
      <c r="L13" s="41"/>
      <c r="M13" s="28"/>
      <c r="N13" s="41"/>
      <c r="O13" s="28"/>
      <c r="P13" s="83">
        <v>43</v>
      </c>
      <c r="Q13" s="81" t="str">
        <f t="shared" ref="Q13" si="12">IF(P13&gt;=75,"A",IF(P13&gt;=65,"B",IF(P13&gt;=50,"C",IF(P13&gt;=36,"S","W"))))</f>
        <v>S</v>
      </c>
      <c r="R13" s="83"/>
      <c r="S13" s="84"/>
      <c r="T13" s="83"/>
      <c r="U13" s="84"/>
      <c r="V13" s="44"/>
      <c r="W13" s="82"/>
      <c r="X13" s="34">
        <f t="shared" si="7"/>
        <v>129</v>
      </c>
      <c r="Y13" s="35">
        <f t="shared" si="8"/>
        <v>43</v>
      </c>
      <c r="Z13" s="34">
        <f t="shared" si="9"/>
        <v>4</v>
      </c>
      <c r="AA13" s="36">
        <f t="shared" si="0"/>
        <v>0</v>
      </c>
      <c r="AB13" s="36">
        <f t="shared" si="1"/>
        <v>0</v>
      </c>
      <c r="AC13" s="36">
        <f t="shared" si="2"/>
        <v>1</v>
      </c>
      <c r="AD13" s="36">
        <f t="shared" si="3"/>
        <v>1</v>
      </c>
      <c r="AE13" s="36">
        <f t="shared" si="4"/>
        <v>1</v>
      </c>
      <c r="AF13" s="37">
        <f t="shared" si="10"/>
        <v>0</v>
      </c>
      <c r="AG13" s="38">
        <v>22</v>
      </c>
      <c r="AH13" s="38"/>
    </row>
    <row r="14" ht="16.9" customHeight="1" spans="1:34">
      <c r="A14" s="24">
        <v>7</v>
      </c>
      <c r="B14" s="25" t="s">
        <v>565</v>
      </c>
      <c r="C14" s="26">
        <v>12</v>
      </c>
      <c r="D14" s="41"/>
      <c r="E14" s="28"/>
      <c r="F14" s="41"/>
      <c r="G14" s="28"/>
      <c r="H14" s="41"/>
      <c r="I14" s="28"/>
      <c r="J14" s="41"/>
      <c r="K14" s="28"/>
      <c r="L14" s="41"/>
      <c r="M14" s="28"/>
      <c r="N14" s="41"/>
      <c r="O14" s="28"/>
      <c r="P14" s="83">
        <v>21</v>
      </c>
      <c r="Q14" s="81" t="str">
        <f t="shared" ref="Q14" si="13">IF(P14&gt;=75,"A",IF(P14&gt;=65,"B",IF(P14&gt;=50,"C",IF(P14&gt;=36,"S","W"))))</f>
        <v>W</v>
      </c>
      <c r="R14" s="83"/>
      <c r="S14" s="84"/>
      <c r="T14" s="83"/>
      <c r="U14" s="84"/>
      <c r="V14" s="44"/>
      <c r="W14" s="82"/>
      <c r="X14" s="34">
        <f t="shared" si="7"/>
        <v>21</v>
      </c>
      <c r="Y14" s="35">
        <f t="shared" si="8"/>
        <v>7</v>
      </c>
      <c r="Z14" s="34">
        <f t="shared" si="9"/>
        <v>14</v>
      </c>
      <c r="AA14" s="36">
        <f t="shared" si="0"/>
        <v>0</v>
      </c>
      <c r="AB14" s="36">
        <f t="shared" si="1"/>
        <v>0</v>
      </c>
      <c r="AC14" s="36">
        <f t="shared" si="2"/>
        <v>0</v>
      </c>
      <c r="AD14" s="36">
        <f t="shared" si="3"/>
        <v>0</v>
      </c>
      <c r="AE14" s="36">
        <f t="shared" si="4"/>
        <v>1</v>
      </c>
      <c r="AF14" s="37">
        <f t="shared" si="10"/>
        <v>0</v>
      </c>
      <c r="AG14" s="38">
        <v>58</v>
      </c>
      <c r="AH14" s="38"/>
    </row>
    <row r="15" ht="16.9" customHeight="1" spans="1:34">
      <c r="A15" s="39">
        <v>8</v>
      </c>
      <c r="B15" s="40" t="s">
        <v>566</v>
      </c>
      <c r="C15" s="26">
        <v>12</v>
      </c>
      <c r="D15" s="46"/>
      <c r="E15" s="46"/>
      <c r="F15" s="46"/>
      <c r="G15" s="28"/>
      <c r="H15" s="46"/>
      <c r="I15" s="28"/>
      <c r="J15" s="46"/>
      <c r="K15" s="28"/>
      <c r="L15" s="46"/>
      <c r="M15" s="28"/>
      <c r="N15" s="46"/>
      <c r="O15" s="28"/>
      <c r="P15" s="85"/>
      <c r="Q15" s="81"/>
      <c r="R15" s="85"/>
      <c r="S15" s="85"/>
      <c r="T15" s="85"/>
      <c r="U15" s="85"/>
      <c r="V15" s="86"/>
      <c r="W15" s="82"/>
      <c r="X15" s="34">
        <f t="shared" si="7"/>
        <v>0</v>
      </c>
      <c r="Y15" s="35">
        <f t="shared" si="8"/>
        <v>0</v>
      </c>
      <c r="Z15" s="34">
        <f t="shared" si="9"/>
        <v>15</v>
      </c>
      <c r="AA15" s="36">
        <f t="shared" si="0"/>
        <v>0</v>
      </c>
      <c r="AB15" s="36">
        <f t="shared" si="1"/>
        <v>0</v>
      </c>
      <c r="AC15" s="36">
        <f t="shared" si="2"/>
        <v>0</v>
      </c>
      <c r="AD15" s="36">
        <f t="shared" si="3"/>
        <v>0</v>
      </c>
      <c r="AE15" s="36">
        <f t="shared" si="4"/>
        <v>0</v>
      </c>
      <c r="AF15" s="37">
        <f t="shared" si="10"/>
        <v>0</v>
      </c>
      <c r="AG15" s="47" t="s">
        <v>562</v>
      </c>
      <c r="AH15" s="38"/>
    </row>
    <row r="16" ht="16.9" customHeight="1" spans="1:34">
      <c r="A16" s="24">
        <v>9</v>
      </c>
      <c r="B16" s="25" t="s">
        <v>567</v>
      </c>
      <c r="C16" s="26">
        <v>12</v>
      </c>
      <c r="D16" s="46"/>
      <c r="E16" s="46"/>
      <c r="F16" s="46"/>
      <c r="G16" s="28"/>
      <c r="H16" s="46"/>
      <c r="I16" s="28"/>
      <c r="J16" s="46"/>
      <c r="K16" s="28"/>
      <c r="L16" s="46"/>
      <c r="M16" s="28"/>
      <c r="N16" s="46"/>
      <c r="O16" s="28"/>
      <c r="P16" s="85"/>
      <c r="Q16" s="81"/>
      <c r="R16" s="85"/>
      <c r="S16" s="85"/>
      <c r="T16" s="85"/>
      <c r="U16" s="85"/>
      <c r="V16" s="86"/>
      <c r="W16" s="82"/>
      <c r="X16" s="34">
        <f t="shared" si="7"/>
        <v>0</v>
      </c>
      <c r="Y16" s="35">
        <f t="shared" si="8"/>
        <v>0</v>
      </c>
      <c r="Z16" s="34">
        <f t="shared" si="9"/>
        <v>15</v>
      </c>
      <c r="AA16" s="36">
        <f t="shared" si="0"/>
        <v>0</v>
      </c>
      <c r="AB16" s="36">
        <f t="shared" si="1"/>
        <v>0</v>
      </c>
      <c r="AC16" s="36">
        <f t="shared" si="2"/>
        <v>0</v>
      </c>
      <c r="AD16" s="36">
        <f t="shared" si="3"/>
        <v>0</v>
      </c>
      <c r="AE16" s="36">
        <f t="shared" si="4"/>
        <v>0</v>
      </c>
      <c r="AF16" s="37">
        <f t="shared" si="10"/>
        <v>0</v>
      </c>
      <c r="AG16" s="47" t="s">
        <v>562</v>
      </c>
      <c r="AH16" s="38"/>
    </row>
    <row r="17" ht="16.9" customHeight="1" spans="1:34">
      <c r="A17" s="39">
        <v>10</v>
      </c>
      <c r="B17" s="40" t="s">
        <v>568</v>
      </c>
      <c r="C17" s="26">
        <v>12</v>
      </c>
      <c r="D17" s="41"/>
      <c r="E17" s="28"/>
      <c r="F17" s="41"/>
      <c r="G17" s="28"/>
      <c r="H17" s="41"/>
      <c r="I17" s="28"/>
      <c r="J17" s="41">
        <v>66</v>
      </c>
      <c r="K17" s="28" t="str">
        <f t="shared" ref="K17" si="14">IF(J17&gt;=75,"A",IF(J17&gt;=65,"B",IF(J17&gt;=50,"C",IF(J17&gt;=36,"S","W"))))</f>
        <v>B</v>
      </c>
      <c r="L17" s="41"/>
      <c r="M17" s="28"/>
      <c r="N17" s="41"/>
      <c r="O17" s="28"/>
      <c r="P17" s="83">
        <v>54</v>
      </c>
      <c r="Q17" s="81" t="str">
        <f t="shared" ref="Q17" si="15">IF(P17&gt;=75,"A",IF(P17&gt;=65,"B",IF(P17&gt;=50,"C",IF(P17&gt;=36,"S","W"))))</f>
        <v>C</v>
      </c>
      <c r="R17" s="83"/>
      <c r="S17" s="84"/>
      <c r="T17" s="83"/>
      <c r="U17" s="84"/>
      <c r="V17" s="44">
        <v>40</v>
      </c>
      <c r="W17" s="82" t="str">
        <f t="shared" ref="W17" si="16">IF(V17&gt;=75,"A",IF(V17&gt;=65,"B",IF(V17&gt;=50,"C",IF(V17&gt;=36,"S","W"))))</f>
        <v>S</v>
      </c>
      <c r="X17" s="34">
        <f t="shared" si="7"/>
        <v>160</v>
      </c>
      <c r="Y17" s="35">
        <f t="shared" si="8"/>
        <v>53.3333333333333</v>
      </c>
      <c r="Z17" s="34">
        <f t="shared" si="9"/>
        <v>1</v>
      </c>
      <c r="AA17" s="36">
        <f t="shared" si="0"/>
        <v>0</v>
      </c>
      <c r="AB17" s="36">
        <f t="shared" si="1"/>
        <v>1</v>
      </c>
      <c r="AC17" s="36">
        <f t="shared" si="2"/>
        <v>1</v>
      </c>
      <c r="AD17" s="36">
        <f t="shared" si="3"/>
        <v>1</v>
      </c>
      <c r="AE17" s="36">
        <f t="shared" si="4"/>
        <v>0</v>
      </c>
      <c r="AF17" s="37">
        <f t="shared" si="10"/>
        <v>0</v>
      </c>
      <c r="AG17" s="38">
        <v>13</v>
      </c>
      <c r="AH17" s="38"/>
    </row>
    <row r="18" ht="16.9" customHeight="1" spans="1:34">
      <c r="A18" s="24">
        <v>11</v>
      </c>
      <c r="B18" s="25" t="s">
        <v>569</v>
      </c>
      <c r="C18" s="26">
        <v>12</v>
      </c>
      <c r="D18" s="41">
        <v>26</v>
      </c>
      <c r="E18" s="28" t="str">
        <f t="shared" si="5"/>
        <v>W</v>
      </c>
      <c r="F18" s="41"/>
      <c r="G18" s="28"/>
      <c r="H18" s="41">
        <v>49</v>
      </c>
      <c r="I18" s="28" t="str">
        <f t="shared" ref="I18" si="17">IF(H18&gt;=75,"A",IF(H18&gt;=65,"B",IF(H18&gt;=50,"C",IF(H18&gt;=36,"S","W"))))</f>
        <v>S</v>
      </c>
      <c r="J18" s="41"/>
      <c r="K18" s="28"/>
      <c r="L18" s="41"/>
      <c r="M18" s="28"/>
      <c r="N18" s="41"/>
      <c r="O18" s="28"/>
      <c r="P18" s="83">
        <v>54</v>
      </c>
      <c r="Q18" s="81" t="str">
        <f t="shared" ref="Q18" si="18">IF(P18&gt;=75,"A",IF(P18&gt;=65,"B",IF(P18&gt;=50,"C",IF(P18&gt;=36,"S","W"))))</f>
        <v>C</v>
      </c>
      <c r="R18" s="83"/>
      <c r="S18" s="84"/>
      <c r="T18" s="83"/>
      <c r="U18" s="84"/>
      <c r="V18" s="44"/>
      <c r="W18" s="82"/>
      <c r="X18" s="34">
        <f t="shared" si="7"/>
        <v>129</v>
      </c>
      <c r="Y18" s="35">
        <f t="shared" si="8"/>
        <v>43</v>
      </c>
      <c r="Z18" s="34">
        <f t="shared" si="9"/>
        <v>4</v>
      </c>
      <c r="AA18" s="36">
        <f t="shared" si="0"/>
        <v>0</v>
      </c>
      <c r="AB18" s="36">
        <f t="shared" si="1"/>
        <v>0</v>
      </c>
      <c r="AC18" s="36">
        <f t="shared" si="2"/>
        <v>1</v>
      </c>
      <c r="AD18" s="36">
        <f t="shared" si="3"/>
        <v>1</v>
      </c>
      <c r="AE18" s="36">
        <f t="shared" si="4"/>
        <v>1</v>
      </c>
      <c r="AF18" s="37">
        <f t="shared" si="10"/>
        <v>0</v>
      </c>
      <c r="AG18" s="38">
        <v>18</v>
      </c>
      <c r="AH18" s="38"/>
    </row>
    <row r="19" ht="16.9" customHeight="1" spans="1:34">
      <c r="A19" s="39">
        <v>12</v>
      </c>
      <c r="B19" s="48" t="s">
        <v>570</v>
      </c>
      <c r="C19" s="26">
        <v>12</v>
      </c>
      <c r="D19" s="29"/>
      <c r="E19" s="28"/>
      <c r="F19" s="29"/>
      <c r="G19" s="28"/>
      <c r="H19" s="29"/>
      <c r="I19" s="28"/>
      <c r="J19" s="50">
        <v>54</v>
      </c>
      <c r="K19" s="28" t="str">
        <f t="shared" ref="K19" si="19">IF(J19&gt;=75,"A",IF(J19&gt;=65,"B",IF(J19&gt;=50,"C",IF(J19&gt;=36,"S","W"))))</f>
        <v>C</v>
      </c>
      <c r="L19" s="41"/>
      <c r="M19" s="28"/>
      <c r="N19" s="29"/>
      <c r="O19" s="28"/>
      <c r="P19" s="51">
        <v>37</v>
      </c>
      <c r="Q19" s="81" t="str">
        <f t="shared" ref="Q19" si="20">IF(P19&gt;=75,"A",IF(P19&gt;=65,"B",IF(P19&gt;=50,"C",IF(P19&gt;=36,"S","W"))))</f>
        <v>S</v>
      </c>
      <c r="R19" s="51"/>
      <c r="S19" s="43"/>
      <c r="T19" s="43"/>
      <c r="U19" s="43"/>
      <c r="V19" s="52">
        <v>44</v>
      </c>
      <c r="W19" s="82" t="str">
        <f t="shared" ref="W19" si="21">IF(V19&gt;=75,"A",IF(V19&gt;=65,"B",IF(V19&gt;=50,"C",IF(V19&gt;=36,"S","W"))))</f>
        <v>S</v>
      </c>
      <c r="X19" s="34">
        <f t="shared" si="7"/>
        <v>135</v>
      </c>
      <c r="Y19" s="35">
        <f t="shared" si="8"/>
        <v>45</v>
      </c>
      <c r="Z19" s="34">
        <f t="shared" si="9"/>
        <v>3</v>
      </c>
      <c r="AA19" s="36">
        <f t="shared" si="0"/>
        <v>0</v>
      </c>
      <c r="AB19" s="36">
        <f t="shared" si="1"/>
        <v>0</v>
      </c>
      <c r="AC19" s="36">
        <f t="shared" si="2"/>
        <v>1</v>
      </c>
      <c r="AD19" s="36">
        <f t="shared" si="3"/>
        <v>2</v>
      </c>
      <c r="AE19" s="36">
        <f t="shared" si="4"/>
        <v>0</v>
      </c>
      <c r="AF19" s="37">
        <f t="shared" si="10"/>
        <v>0</v>
      </c>
      <c r="AG19" s="47" t="s">
        <v>562</v>
      </c>
      <c r="AH19" s="38"/>
    </row>
    <row r="20" ht="16.9" customHeight="1" spans="1:34">
      <c r="A20" s="24">
        <v>13</v>
      </c>
      <c r="B20" s="48" t="s">
        <v>571</v>
      </c>
      <c r="C20" s="26">
        <v>12</v>
      </c>
      <c r="D20" s="29">
        <v>52</v>
      </c>
      <c r="E20" s="28" t="str">
        <f t="shared" si="5"/>
        <v>C</v>
      </c>
      <c r="F20" s="29"/>
      <c r="G20" s="28"/>
      <c r="H20" s="29">
        <v>45</v>
      </c>
      <c r="I20" s="28" t="str">
        <f t="shared" ref="I20" si="22">IF(H20&gt;=75,"A",IF(H20&gt;=65,"B",IF(H20&gt;=50,"C",IF(H20&gt;=36,"S","W"))))</f>
        <v>S</v>
      </c>
      <c r="J20" s="50"/>
      <c r="K20" s="28"/>
      <c r="L20" s="41"/>
      <c r="M20" s="28"/>
      <c r="N20" s="29"/>
      <c r="O20" s="28"/>
      <c r="P20" s="51"/>
      <c r="Q20" s="81"/>
      <c r="R20" s="51"/>
      <c r="S20" s="43"/>
      <c r="T20" s="43"/>
      <c r="U20" s="43"/>
      <c r="V20" s="52"/>
      <c r="W20" s="82"/>
      <c r="X20" s="34">
        <f t="shared" si="7"/>
        <v>97</v>
      </c>
      <c r="Y20" s="35">
        <f t="shared" si="8"/>
        <v>32.3333333333333</v>
      </c>
      <c r="Z20" s="34">
        <f t="shared" si="9"/>
        <v>7</v>
      </c>
      <c r="AA20" s="36"/>
      <c r="AB20" s="36"/>
      <c r="AC20" s="36"/>
      <c r="AD20" s="36"/>
      <c r="AE20" s="36"/>
      <c r="AF20" s="37"/>
      <c r="AG20" s="47"/>
      <c r="AH20" s="38"/>
    </row>
    <row r="21" ht="16.9" customHeight="1" spans="1:34">
      <c r="A21" s="39">
        <v>14</v>
      </c>
      <c r="B21" s="48" t="s">
        <v>572</v>
      </c>
      <c r="C21" s="26">
        <v>12</v>
      </c>
      <c r="D21" s="29"/>
      <c r="E21" s="28"/>
      <c r="F21" s="29"/>
      <c r="G21" s="28"/>
      <c r="H21" s="29">
        <v>35</v>
      </c>
      <c r="I21" s="28" t="str">
        <f t="shared" ref="I21" si="23">IF(H21&gt;=75,"A",IF(H21&gt;=65,"B",IF(H21&gt;=50,"C",IF(H21&gt;=36,"S","W"))))</f>
        <v>W</v>
      </c>
      <c r="J21" s="50"/>
      <c r="K21" s="28"/>
      <c r="L21" s="41"/>
      <c r="M21" s="28"/>
      <c r="N21" s="29"/>
      <c r="O21" s="28"/>
      <c r="P21" s="51">
        <v>49</v>
      </c>
      <c r="Q21" s="81" t="str">
        <f t="shared" ref="Q21" si="24">IF(P21&gt;=75,"A",IF(P21&gt;=65,"B",IF(P21&gt;=50,"C",IF(P21&gt;=36,"S","W"))))</f>
        <v>S</v>
      </c>
      <c r="R21" s="51"/>
      <c r="S21" s="43"/>
      <c r="T21" s="43"/>
      <c r="U21" s="43"/>
      <c r="V21" s="52"/>
      <c r="W21" s="82"/>
      <c r="X21" s="34">
        <f t="shared" si="7"/>
        <v>84</v>
      </c>
      <c r="Y21" s="35">
        <f t="shared" si="8"/>
        <v>28</v>
      </c>
      <c r="Z21" s="34">
        <f t="shared" si="9"/>
        <v>8</v>
      </c>
      <c r="AA21" s="36"/>
      <c r="AB21" s="36"/>
      <c r="AC21" s="36"/>
      <c r="AD21" s="36"/>
      <c r="AE21" s="36"/>
      <c r="AF21" s="37"/>
      <c r="AG21" s="47"/>
      <c r="AH21" s="38"/>
    </row>
    <row r="22" ht="16.9" customHeight="1" spans="1:34">
      <c r="A22" s="24">
        <v>15</v>
      </c>
      <c r="B22" s="48" t="s">
        <v>573</v>
      </c>
      <c r="C22" s="26">
        <v>12</v>
      </c>
      <c r="D22" s="29">
        <v>31</v>
      </c>
      <c r="E22" s="28" t="str">
        <f t="shared" si="5"/>
        <v>W</v>
      </c>
      <c r="F22" s="29"/>
      <c r="G22" s="28"/>
      <c r="H22" s="29">
        <v>62</v>
      </c>
      <c r="I22" s="28" t="str">
        <f t="shared" ref="I22" si="25">IF(H22&gt;=75,"A",IF(H22&gt;=65,"B",IF(H22&gt;=50,"C",IF(H22&gt;=36,"S","W"))))</f>
        <v>C</v>
      </c>
      <c r="J22" s="50"/>
      <c r="K22" s="28"/>
      <c r="L22" s="41"/>
      <c r="M22" s="28"/>
      <c r="N22" s="29"/>
      <c r="O22" s="28"/>
      <c r="P22" s="51">
        <v>44</v>
      </c>
      <c r="Q22" s="81" t="str">
        <f t="shared" ref="Q22" si="26">IF(P22&gt;=75,"A",IF(P22&gt;=65,"B",IF(P22&gt;=50,"C",IF(P22&gt;=36,"S","W"))))</f>
        <v>S</v>
      </c>
      <c r="R22" s="51"/>
      <c r="S22" s="43"/>
      <c r="T22" s="43"/>
      <c r="U22" s="43"/>
      <c r="V22" s="52"/>
      <c r="W22" s="33"/>
      <c r="X22" s="34">
        <f t="shared" si="7"/>
        <v>137</v>
      </c>
      <c r="Y22" s="35">
        <f t="shared" si="8"/>
        <v>45.6666666666667</v>
      </c>
      <c r="Z22" s="34">
        <f t="shared" si="9"/>
        <v>2</v>
      </c>
      <c r="AA22" s="36"/>
      <c r="AB22" s="36"/>
      <c r="AC22" s="36"/>
      <c r="AD22" s="36"/>
      <c r="AE22" s="36"/>
      <c r="AF22" s="37"/>
      <c r="AG22" s="47"/>
      <c r="AH22" s="38"/>
    </row>
    <row r="23" ht="16.9" customHeight="1" spans="1:34">
      <c r="A23" s="39">
        <v>16</v>
      </c>
      <c r="B23" s="87" t="s">
        <v>574</v>
      </c>
      <c r="C23" s="26">
        <v>12</v>
      </c>
      <c r="D23" s="29">
        <v>25</v>
      </c>
      <c r="E23" s="28" t="str">
        <f t="shared" si="5"/>
        <v>W</v>
      </c>
      <c r="F23" s="29"/>
      <c r="G23" s="28"/>
      <c r="H23" s="29">
        <v>41</v>
      </c>
      <c r="I23" s="28" t="str">
        <f t="shared" ref="I23" si="27">IF(H23&gt;=75,"A",IF(H23&gt;=65,"B",IF(H23&gt;=50,"C",IF(H23&gt;=36,"S","W"))))</f>
        <v>S</v>
      </c>
      <c r="J23" s="50"/>
      <c r="K23" s="28"/>
      <c r="L23" s="41"/>
      <c r="M23" s="28"/>
      <c r="N23" s="29"/>
      <c r="O23" s="28"/>
      <c r="P23" s="51"/>
      <c r="Q23" s="81"/>
      <c r="R23" s="51"/>
      <c r="S23" s="43"/>
      <c r="T23" s="43"/>
      <c r="U23" s="43"/>
      <c r="V23" s="52"/>
      <c r="W23" s="33"/>
      <c r="X23" s="34">
        <f t="shared" si="7"/>
        <v>66</v>
      </c>
      <c r="Y23" s="35">
        <f t="shared" si="8"/>
        <v>22</v>
      </c>
      <c r="Z23" s="34">
        <f t="shared" si="9"/>
        <v>9</v>
      </c>
      <c r="AA23" s="36"/>
      <c r="AB23" s="36"/>
      <c r="AC23" s="36"/>
      <c r="AD23" s="36"/>
      <c r="AE23" s="36"/>
      <c r="AF23" s="37"/>
      <c r="AG23" s="47"/>
      <c r="AH23" s="38"/>
    </row>
    <row r="24" ht="16.9" customHeight="1" spans="1:34">
      <c r="A24" s="24">
        <v>17</v>
      </c>
      <c r="B24" s="87" t="s">
        <v>575</v>
      </c>
      <c r="C24" s="26">
        <v>12</v>
      </c>
      <c r="D24" s="29"/>
      <c r="E24" s="28"/>
      <c r="F24" s="29"/>
      <c r="G24" s="28"/>
      <c r="H24" s="29"/>
      <c r="I24" s="28"/>
      <c r="J24" s="50"/>
      <c r="K24" s="28"/>
      <c r="L24" s="41"/>
      <c r="M24" s="28"/>
      <c r="N24" s="29"/>
      <c r="O24" s="28"/>
      <c r="P24" s="51">
        <v>34</v>
      </c>
      <c r="Q24" s="81" t="str">
        <f t="shared" ref="Q24" si="28">IF(P24&gt;=75,"A",IF(P24&gt;=65,"B",IF(P24&gt;=50,"C",IF(P24&gt;=36,"S","W"))))</f>
        <v>W</v>
      </c>
      <c r="R24" s="51"/>
      <c r="S24" s="43"/>
      <c r="T24" s="43"/>
      <c r="U24" s="43"/>
      <c r="V24" s="52"/>
      <c r="W24" s="33"/>
      <c r="X24" s="34">
        <f t="shared" si="7"/>
        <v>34</v>
      </c>
      <c r="Y24" s="35">
        <f t="shared" si="8"/>
        <v>11.3333333333333</v>
      </c>
      <c r="Z24" s="34">
        <f t="shared" si="9"/>
        <v>10</v>
      </c>
      <c r="AA24" s="36"/>
      <c r="AB24" s="36"/>
      <c r="AC24" s="36"/>
      <c r="AD24" s="36"/>
      <c r="AE24" s="36"/>
      <c r="AF24" s="37"/>
      <c r="AG24" s="47"/>
      <c r="AH24" s="38"/>
    </row>
    <row r="25" ht="16.9" customHeight="1" spans="1:34">
      <c r="A25" s="39">
        <v>18</v>
      </c>
      <c r="B25" s="38" t="s">
        <v>576</v>
      </c>
      <c r="C25" s="26">
        <v>12</v>
      </c>
      <c r="D25" s="29"/>
      <c r="E25" s="28"/>
      <c r="F25" s="29"/>
      <c r="G25" s="28"/>
      <c r="H25" s="29">
        <v>24</v>
      </c>
      <c r="I25" s="28" t="str">
        <f t="shared" ref="I25" si="29">IF(H25&gt;=75,"A",IF(H25&gt;=65,"B",IF(H25&gt;=50,"C",IF(H25&gt;=36,"S","W"))))</f>
        <v>W</v>
      </c>
      <c r="J25" s="50"/>
      <c r="K25" s="28"/>
      <c r="L25" s="41"/>
      <c r="M25" s="41"/>
      <c r="N25" s="29"/>
      <c r="O25" s="41"/>
      <c r="P25" s="51"/>
      <c r="Q25" s="81" t="str">
        <f t="shared" ref="Q25" si="30">IF(P25&gt;=75,"A",IF(P25&gt;=65,"B",IF(P25&gt;=50,"C",IF(P25&gt;=36,"S","W"))))</f>
        <v>W</v>
      </c>
      <c r="R25" s="51"/>
      <c r="S25" s="43"/>
      <c r="T25" s="43"/>
      <c r="U25" s="43"/>
      <c r="V25" s="52"/>
      <c r="W25" s="33"/>
      <c r="X25" s="34">
        <f t="shared" si="7"/>
        <v>24</v>
      </c>
      <c r="Y25" s="35">
        <f t="shared" si="8"/>
        <v>8</v>
      </c>
      <c r="Z25" s="34">
        <f t="shared" si="9"/>
        <v>12</v>
      </c>
      <c r="AA25" s="36">
        <f t="shared" si="0"/>
        <v>0</v>
      </c>
      <c r="AB25" s="36">
        <f t="shared" si="1"/>
        <v>0</v>
      </c>
      <c r="AC25" s="36">
        <f t="shared" si="2"/>
        <v>0</v>
      </c>
      <c r="AD25" s="36">
        <f t="shared" si="3"/>
        <v>0</v>
      </c>
      <c r="AE25" s="36">
        <f t="shared" si="4"/>
        <v>2</v>
      </c>
      <c r="AF25" s="37">
        <f t="shared" si="10"/>
        <v>0</v>
      </c>
      <c r="AG25" s="38">
        <v>20</v>
      </c>
      <c r="AH25" s="38"/>
    </row>
    <row r="26" ht="16.9" customHeight="1" spans="1:34">
      <c r="A26" s="53" t="s">
        <v>62</v>
      </c>
      <c r="B26" s="54"/>
      <c r="C26" s="55"/>
      <c r="D26" s="56"/>
      <c r="E26" s="57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8"/>
      <c r="Y26" s="58"/>
      <c r="Z26" s="58"/>
      <c r="AE26" s="59"/>
      <c r="AF26" s="60"/>
    </row>
    <row r="27" ht="16.9" customHeight="1" spans="1:34">
      <c r="A27" s="53" t="s">
        <v>63</v>
      </c>
      <c r="B27" s="54"/>
      <c r="C27" s="61" t="s">
        <v>24</v>
      </c>
      <c r="D27" s="56"/>
      <c r="E27" s="62">
        <f>COUNTIF(E8:E25,"A")</f>
        <v>0</v>
      </c>
      <c r="F27" s="56"/>
      <c r="G27" s="63">
        <f>COUNTIF(G8:G25,"A")</f>
        <v>0</v>
      </c>
      <c r="H27" s="56"/>
      <c r="I27" s="63">
        <f>COUNTIF(I8:I25,"A")</f>
        <v>0</v>
      </c>
      <c r="J27" s="56"/>
      <c r="K27" s="63">
        <f>COUNTIF(K8:K25,"A")</f>
        <v>0</v>
      </c>
      <c r="L27" s="63"/>
      <c r="M27" s="63">
        <f>COUNTIF(M8:M25,"A")</f>
        <v>0</v>
      </c>
      <c r="N27" s="63"/>
      <c r="O27" s="63">
        <f>COUNTIF(O8:O25,"A")</f>
        <v>0</v>
      </c>
      <c r="P27" s="63"/>
      <c r="Q27" s="63">
        <f>COUNTIF(Q8:Q25,"A")</f>
        <v>0</v>
      </c>
      <c r="R27" s="56"/>
      <c r="S27" s="63">
        <f>COUNTIF(S8:S25,"A")</f>
        <v>0</v>
      </c>
      <c r="T27" s="56"/>
      <c r="U27" s="63">
        <f>COUNTIF(U8:U25,"A")</f>
        <v>0</v>
      </c>
      <c r="V27" s="56"/>
      <c r="W27" s="63">
        <f>COUNTIF(W8:W25,"A")</f>
        <v>0</v>
      </c>
      <c r="X27" s="64"/>
      <c r="Y27" s="64"/>
      <c r="Z27" s="64"/>
      <c r="AE27" s="59"/>
      <c r="AF27" s="60"/>
    </row>
    <row r="28" ht="16.9" customHeight="1" spans="1:34">
      <c r="A28" s="53" t="s">
        <v>64</v>
      </c>
      <c r="B28" s="54"/>
      <c r="C28" s="55" t="s">
        <v>25</v>
      </c>
      <c r="D28" s="56"/>
      <c r="E28" s="62">
        <f>COUNTIF(E8:E25,"B")</f>
        <v>0</v>
      </c>
      <c r="F28" s="56"/>
      <c r="G28" s="63">
        <f>COUNTIF(G8:G25,"B")</f>
        <v>0</v>
      </c>
      <c r="H28" s="56"/>
      <c r="I28" s="63">
        <f>COUNTIF(I8:I25,"B")</f>
        <v>0</v>
      </c>
      <c r="J28" s="56"/>
      <c r="K28" s="63">
        <f>COUNTIF(K8:K25,"B")</f>
        <v>1</v>
      </c>
      <c r="L28" s="56"/>
      <c r="M28" s="63">
        <f>COUNTIF(M8:M25,"B")</f>
        <v>0</v>
      </c>
      <c r="N28" s="56"/>
      <c r="O28" s="63">
        <f>COUNTIF(O8:O25,"B")</f>
        <v>0</v>
      </c>
      <c r="P28" s="56"/>
      <c r="Q28" s="63">
        <f>COUNTIF(Q8:Q25,"B")</f>
        <v>0</v>
      </c>
      <c r="R28" s="56"/>
      <c r="S28" s="63">
        <f>COUNTIF(S8:S25,"B")</f>
        <v>0</v>
      </c>
      <c r="T28" s="56"/>
      <c r="U28" s="63">
        <f>COUNTIF(U8:U25,"B")</f>
        <v>0</v>
      </c>
      <c r="V28" s="56"/>
      <c r="W28" s="63">
        <f>COUNTIF(W8:W25,"B")</f>
        <v>0</v>
      </c>
      <c r="X28" s="64"/>
      <c r="Y28" s="64"/>
      <c r="Z28" s="64"/>
    </row>
    <row r="29" ht="16.9" customHeight="1" spans="1:34">
      <c r="A29" s="53" t="s">
        <v>65</v>
      </c>
      <c r="B29" s="54"/>
      <c r="C29" s="55" t="s">
        <v>26</v>
      </c>
      <c r="D29" s="56"/>
      <c r="E29" s="62">
        <f>COUNTIF(E8:E25,"C")</f>
        <v>1</v>
      </c>
      <c r="F29" s="56"/>
      <c r="G29" s="63">
        <f>COUNTIF(G8:G25,"C")</f>
        <v>0</v>
      </c>
      <c r="H29" s="56"/>
      <c r="I29" s="63">
        <f>COUNTIF(I8:I25,"C")</f>
        <v>2</v>
      </c>
      <c r="J29" s="56"/>
      <c r="K29" s="63">
        <f>COUNTIF(K8:K25,"C")</f>
        <v>1</v>
      </c>
      <c r="L29" s="56"/>
      <c r="M29" s="63">
        <f>COUNTIF(M8:M25,"C")</f>
        <v>0</v>
      </c>
      <c r="N29" s="56"/>
      <c r="O29" s="63">
        <f>COUNTIF(O8:O25,"C")</f>
        <v>0</v>
      </c>
      <c r="P29" s="56"/>
      <c r="Q29" s="63">
        <f>COUNTIF(Q8:Q25,"C")</f>
        <v>3</v>
      </c>
      <c r="R29" s="56"/>
      <c r="S29" s="63">
        <f>COUNTIF(S8:S25,"C")</f>
        <v>0</v>
      </c>
      <c r="T29" s="56"/>
      <c r="U29" s="63">
        <f>COUNTIF(U8:U25,"C")</f>
        <v>0</v>
      </c>
      <c r="V29" s="56"/>
      <c r="W29" s="63">
        <f>COUNTIF(W8:W25,"C")</f>
        <v>0</v>
      </c>
      <c r="X29" s="64"/>
      <c r="Y29" s="64"/>
      <c r="Z29" s="64"/>
    </row>
    <row r="30" ht="16.9" customHeight="1" spans="1:34">
      <c r="A30" s="53" t="s">
        <v>413</v>
      </c>
      <c r="B30" s="54"/>
      <c r="C30" s="55" t="s">
        <v>27</v>
      </c>
      <c r="D30" s="56"/>
      <c r="E30" s="62">
        <f>COUNTIF(E8:E25,"S")</f>
        <v>1</v>
      </c>
      <c r="F30" s="56"/>
      <c r="G30" s="63">
        <f>COUNTIF(G8:G25,"S")</f>
        <v>0</v>
      </c>
      <c r="H30" s="56"/>
      <c r="I30" s="63">
        <f>COUNTIF(I8:I25,"S")</f>
        <v>3</v>
      </c>
      <c r="J30" s="56"/>
      <c r="K30" s="63">
        <f>COUNTIF(K8:K25,"S")</f>
        <v>0</v>
      </c>
      <c r="L30" s="56"/>
      <c r="M30" s="63">
        <f>COUNTIF(M8:M25,"S")</f>
        <v>0</v>
      </c>
      <c r="N30" s="56"/>
      <c r="O30" s="63">
        <f>COUNTIF(O8:O25,"S")</f>
        <v>0</v>
      </c>
      <c r="P30" s="56"/>
      <c r="Q30" s="63">
        <f>COUNTIF(Q8:Q25,"S")</f>
        <v>4</v>
      </c>
      <c r="R30" s="56"/>
      <c r="S30" s="63">
        <f>COUNTIF(S8:S25,"S")</f>
        <v>0</v>
      </c>
      <c r="T30" s="56"/>
      <c r="U30" s="63">
        <f>COUNTIF(U8:U25,"S")</f>
        <v>0</v>
      </c>
      <c r="V30" s="56"/>
      <c r="W30" s="63">
        <f>COUNTIF(W8:W25,"S")</f>
        <v>2</v>
      </c>
      <c r="X30" s="64"/>
      <c r="Y30" s="64"/>
      <c r="Z30" s="64"/>
    </row>
    <row r="31" ht="16.9" customHeight="1" spans="1:34">
      <c r="A31" s="53" t="s">
        <v>414</v>
      </c>
      <c r="B31" s="54"/>
      <c r="C31" s="55" t="s">
        <v>28</v>
      </c>
      <c r="D31" s="56"/>
      <c r="E31" s="62">
        <f>COUNTIF(E8:E25,"W")</f>
        <v>6</v>
      </c>
      <c r="F31" s="56"/>
      <c r="G31" s="63">
        <f>COUNTIF(G8:G25,"W")</f>
        <v>0</v>
      </c>
      <c r="H31" s="56"/>
      <c r="I31" s="63">
        <f>COUNTIF(I8:I25,"W")</f>
        <v>2</v>
      </c>
      <c r="J31" s="56"/>
      <c r="K31" s="63">
        <f>COUNTIF(K8:K25,"W")</f>
        <v>0</v>
      </c>
      <c r="L31" s="56"/>
      <c r="M31" s="63">
        <f>COUNTIF(M8:M25,"W")</f>
        <v>0</v>
      </c>
      <c r="N31" s="56"/>
      <c r="O31" s="63">
        <f>COUNTIF(O8:O25,"W")</f>
        <v>0</v>
      </c>
      <c r="P31" s="56"/>
      <c r="Q31" s="63">
        <f>COUNTIF(Q8:Q25,"W")</f>
        <v>3</v>
      </c>
      <c r="R31" s="56"/>
      <c r="S31" s="63">
        <f>COUNTIF(S8:S25,"W")</f>
        <v>0</v>
      </c>
      <c r="T31" s="56"/>
      <c r="U31" s="63">
        <f>COUNTIF(U8:U25,"W")</f>
        <v>0</v>
      </c>
      <c r="V31" s="56"/>
      <c r="W31" s="63">
        <f>COUNTIF(W8:W25,"W")</f>
        <v>0</v>
      </c>
      <c r="X31" s="64"/>
      <c r="Y31" s="64"/>
      <c r="Z31" s="64"/>
    </row>
    <row r="32" ht="16.9" customHeight="1" spans="1:34">
      <c r="A32" s="53"/>
      <c r="B32" s="54"/>
      <c r="C32" s="55" t="s">
        <v>29</v>
      </c>
      <c r="D32" s="56"/>
      <c r="E32" s="62">
        <f>COUNTIF(E8:E25,"AB")</f>
        <v>0</v>
      </c>
      <c r="F32" s="56"/>
      <c r="G32" s="63">
        <f>COUNTIF(G8:G25,"AB")</f>
        <v>0</v>
      </c>
      <c r="H32" s="56"/>
      <c r="I32" s="63">
        <f>COUNTIF(I8:I25,"AB")</f>
        <v>0</v>
      </c>
      <c r="J32" s="56"/>
      <c r="K32" s="63">
        <f>COUNTIF(K8:K25,"AB")</f>
        <v>0</v>
      </c>
      <c r="L32" s="56"/>
      <c r="M32" s="63">
        <f>COUNTIF(M8:M25,"AB")</f>
        <v>0</v>
      </c>
      <c r="N32" s="56"/>
      <c r="O32" s="63">
        <f>COUNTIF(O8:O25,"AB")</f>
        <v>0</v>
      </c>
      <c r="P32" s="56"/>
      <c r="Q32" s="63">
        <f>COUNTIF(Q8:Q25,"AB")</f>
        <v>0</v>
      </c>
      <c r="R32" s="56"/>
      <c r="S32" s="63">
        <f>COUNTIF(S8:S25,"AB")</f>
        <v>0</v>
      </c>
      <c r="T32" s="56"/>
      <c r="U32" s="63">
        <f>COUNTIF(U8:U25,"AB")</f>
        <v>0</v>
      </c>
      <c r="V32" s="56"/>
      <c r="W32" s="63">
        <f>COUNTIF(W8:W25,"AB")</f>
        <v>0</v>
      </c>
      <c r="X32" s="64"/>
      <c r="Y32" s="64"/>
      <c r="Z32" s="64"/>
    </row>
    <row r="33" customFormat="1" ht="16.9" customHeight="1" spans="1:26">
      <c r="A33" s="65" t="s">
        <v>7</v>
      </c>
      <c r="B33" s="66"/>
      <c r="C33" s="67"/>
      <c r="D33" s="68"/>
      <c r="E33" s="66">
        <f>SUM(E27:E32)</f>
        <v>8</v>
      </c>
      <c r="F33" s="68"/>
      <c r="G33" s="69">
        <f>SUM(G27:G32)</f>
        <v>0</v>
      </c>
      <c r="H33" s="68"/>
      <c r="I33" s="69">
        <f>SUM(I27:I32)</f>
        <v>7</v>
      </c>
      <c r="J33" s="68"/>
      <c r="K33" s="69">
        <f>SUM(K27:K32)</f>
        <v>2</v>
      </c>
      <c r="L33" s="68"/>
      <c r="M33" s="69">
        <f>SUM(M27:M32)</f>
        <v>0</v>
      </c>
      <c r="N33" s="68"/>
      <c r="O33" s="69">
        <f>SUM(O27:O32)</f>
        <v>0</v>
      </c>
      <c r="P33" s="68"/>
      <c r="Q33" s="69">
        <f>SUM(Q27:Q32)</f>
        <v>10</v>
      </c>
      <c r="R33" s="68"/>
      <c r="S33" s="69">
        <f>SUM(S27:S32)</f>
        <v>0</v>
      </c>
      <c r="T33" s="68"/>
      <c r="U33" s="69">
        <f>SUM(U27:U32)</f>
        <v>0</v>
      </c>
      <c r="V33" s="68"/>
      <c r="W33" s="69">
        <f>SUM(W27:W32)</f>
        <v>2</v>
      </c>
      <c r="X33" s="70"/>
      <c r="Y33" s="70"/>
      <c r="Z33" s="70"/>
    </row>
    <row r="34" customFormat="1" ht="16.9" customHeight="1" spans="1:26">
      <c r="A34" s="71"/>
      <c r="B34" s="72"/>
      <c r="C34" s="73"/>
      <c r="D34" s="74"/>
      <c r="E34" s="75"/>
      <c r="F34" s="74"/>
      <c r="G34" s="74"/>
      <c r="H34" s="74"/>
      <c r="I34" s="74"/>
      <c r="J34" s="74"/>
      <c r="K34" s="76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</row>
    <row r="35" customFormat="1" ht="16.9" customHeight="1" spans="1:26">
      <c r="A35" s="47"/>
      <c r="B35" s="77"/>
      <c r="C35" s="78"/>
      <c r="D35" s="38"/>
      <c r="E35" s="79"/>
      <c r="F35" s="38"/>
      <c r="G35" s="38"/>
      <c r="H35" s="38"/>
      <c r="I35" s="38"/>
      <c r="J35" s="38"/>
      <c r="K35" s="80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</row>
    <row r="36" customFormat="1" ht="16.9" customHeight="1" spans="1:26">
      <c r="K36" s="1"/>
    </row>
    <row r="37" customFormat="1" ht="16.9" customHeight="1" spans="1:26">
      <c r="K37" s="1"/>
    </row>
    <row r="38" customFormat="1" ht="16.9" customHeight="1" spans="1:26">
      <c r="K38" s="1"/>
    </row>
    <row r="39" customFormat="1" ht="16.9" customHeight="1" spans="1:26">
      <c r="K39" s="1"/>
    </row>
  </sheetData>
  <mergeCells count="16">
    <mergeCell ref="A1:W1"/>
    <mergeCell ref="A3:AE3"/>
    <mergeCell ref="A4:AE4"/>
    <mergeCell ref="D6:W6"/>
    <mergeCell ref="AA6:AF6"/>
    <mergeCell ref="A26:B26"/>
    <mergeCell ref="A27:B27"/>
    <mergeCell ref="A28:B28"/>
    <mergeCell ref="A29:B29"/>
    <mergeCell ref="A30:B30"/>
    <mergeCell ref="A31:B31"/>
    <mergeCell ref="A32:B32"/>
    <mergeCell ref="A33:B33"/>
    <mergeCell ref="A6:A7"/>
    <mergeCell ref="B6:B7"/>
    <mergeCell ref="C6:C7"/>
  </mergeCells>
  <pageMargins left="0.25" right="0.25" top="0.75" bottom="0.75" header="0.3" footer="0.3"/>
  <pageSetup paperSize="8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4"/>
  <sheetViews>
    <sheetView zoomScale="60" zoomScaleNormal="60" workbookViewId="0">
      <selection activeCell="AL23" sqref="AL23"/>
    </sheetView>
  </sheetViews>
  <sheetFormatPr defaultColWidth="9" defaultRowHeight="15.6"/>
  <cols>
    <col min="1" max="1" width="4.71296296296296" customWidth="1"/>
    <col min="2" max="2" width="39.287037037037" customWidth="1"/>
    <col min="3" max="3" width="5.85185185185185" customWidth="1"/>
    <col min="4" max="4" width="3.57407407407407" customWidth="1"/>
    <col min="5" max="5" width="4.28703703703704" customWidth="1"/>
    <col min="6" max="6" width="3.71296296296296" customWidth="1"/>
    <col min="7" max="7" width="4.28703703703704" customWidth="1"/>
    <col min="8" max="8" width="3.71296296296296" customWidth="1"/>
    <col min="9" max="9" width="4.28703703703704" customWidth="1"/>
    <col min="10" max="10" width="3.42592592592593" customWidth="1"/>
    <col min="11" max="11" width="3.42592592592593" style="1" customWidth="1"/>
    <col min="12" max="12" width="4.42592592592593" customWidth="1"/>
    <col min="13" max="13" width="4.28703703703704" customWidth="1"/>
    <col min="14" max="14" width="3.42592592592593" customWidth="1"/>
    <col min="15" max="15" width="4.28703703703704" customWidth="1"/>
    <col min="16" max="16" width="3.57407407407407" customWidth="1"/>
    <col min="17" max="17" width="4.28703703703704" customWidth="1"/>
    <col min="18" max="18" width="3.71296296296296" customWidth="1"/>
    <col min="19" max="21" width="4.28703703703704" customWidth="1"/>
    <col min="22" max="22" width="3.28703703703704" customWidth="1"/>
    <col min="23" max="23" width="4.28703703703704" customWidth="1"/>
    <col min="24" max="24" width="8" customWidth="1"/>
    <col min="25" max="25" width="8.71296296296296" customWidth="1"/>
    <col min="26" max="26" width="7" customWidth="1"/>
    <col min="27" max="27" width="2.28703703703704" customWidth="1"/>
    <col min="28" max="28" width="2" customWidth="1"/>
    <col min="29" max="30" width="2.57407407407407" customWidth="1"/>
    <col min="31" max="31" width="3.28703703703704" customWidth="1"/>
    <col min="32" max="32" width="5.71296296296296" style="2" customWidth="1"/>
    <col min="33" max="33" width="3.85185185185185" customWidth="1"/>
    <col min="34" max="34" width="3.71296296296296" customWidth="1"/>
  </cols>
  <sheetData>
    <row r="1" ht="25.8" spans="1:34">
      <c r="A1" s="3" t="s">
        <v>547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65" customHeight="1"/>
    <row r="3" ht="21" spans="1:34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ht="21" spans="1:34">
      <c r="A4" s="5" t="s">
        <v>577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6" customHeight="1" spans="1:34">
      <c r="A6" s="6" t="s">
        <v>3</v>
      </c>
      <c r="B6" s="7" t="s">
        <v>4</v>
      </c>
      <c r="C6" s="8" t="s">
        <v>5</v>
      </c>
      <c r="D6" s="9" t="s">
        <v>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10"/>
      <c r="AA6" s="11" t="s">
        <v>7</v>
      </c>
      <c r="AB6" s="12"/>
      <c r="AC6" s="12"/>
      <c r="AD6" s="12"/>
      <c r="AE6" s="12"/>
      <c r="AF6" s="12"/>
    </row>
    <row r="7" ht="89.45" customHeight="1" spans="1:34">
      <c r="A7" s="6"/>
      <c r="B7" s="6"/>
      <c r="C7" s="13"/>
      <c r="D7" s="14" t="s">
        <v>15</v>
      </c>
      <c r="E7" s="15"/>
      <c r="F7" s="14" t="s">
        <v>13</v>
      </c>
      <c r="G7" s="14"/>
      <c r="H7" s="14" t="s">
        <v>549</v>
      </c>
      <c r="I7" s="14"/>
      <c r="J7" s="14" t="s">
        <v>18</v>
      </c>
      <c r="K7" s="14"/>
      <c r="L7" s="14" t="s">
        <v>550</v>
      </c>
      <c r="M7" s="14"/>
      <c r="N7" s="14" t="s">
        <v>551</v>
      </c>
      <c r="O7" s="14"/>
      <c r="P7" s="16" t="s">
        <v>552</v>
      </c>
      <c r="Q7" s="16"/>
      <c r="R7" s="16" t="s">
        <v>553</v>
      </c>
      <c r="S7" s="16"/>
      <c r="T7" s="16" t="s">
        <v>554</v>
      </c>
      <c r="U7" s="16"/>
      <c r="V7" s="17" t="s">
        <v>555</v>
      </c>
      <c r="W7" s="17"/>
      <c r="X7" s="18" t="s">
        <v>7</v>
      </c>
      <c r="Y7" s="18" t="s">
        <v>22</v>
      </c>
      <c r="Z7" s="18" t="s">
        <v>23</v>
      </c>
      <c r="AA7" s="19" t="s">
        <v>24</v>
      </c>
      <c r="AB7" s="20" t="s">
        <v>25</v>
      </c>
      <c r="AC7" s="21" t="s">
        <v>26</v>
      </c>
      <c r="AD7" s="20" t="s">
        <v>27</v>
      </c>
      <c r="AE7" s="20" t="s">
        <v>28</v>
      </c>
      <c r="AF7" s="22" t="s">
        <v>29</v>
      </c>
      <c r="AG7" s="23" t="s">
        <v>556</v>
      </c>
      <c r="AH7" s="23" t="s">
        <v>557</v>
      </c>
    </row>
    <row r="8" ht="16.9" customHeight="1" spans="1:34">
      <c r="A8" s="24">
        <v>1</v>
      </c>
      <c r="B8" s="25" t="s">
        <v>578</v>
      </c>
      <c r="C8" s="26">
        <v>13</v>
      </c>
      <c r="D8" s="27"/>
      <c r="E8" s="28"/>
      <c r="F8" s="27"/>
      <c r="G8" s="27"/>
      <c r="H8" s="27">
        <v>37</v>
      </c>
      <c r="I8" s="29" t="str">
        <f>IF(H8&gt;=75,"A",IF(H8&gt;=65,"B",IF(H8&gt;=50,"C",IF(H8&gt;=36,"S","W"))))</f>
        <v>S</v>
      </c>
      <c r="J8" s="30"/>
      <c r="K8" s="31"/>
      <c r="L8" s="27">
        <v>49</v>
      </c>
      <c r="M8" s="29" t="str">
        <f>IF(L8&gt;=75,"A",IF(L8&gt;=65,"B",IF(L8&gt;=50,"C",IF(L8&gt;=36,"S","W"))))</f>
        <v>S</v>
      </c>
      <c r="N8" s="27"/>
      <c r="O8" s="29"/>
      <c r="P8" s="32"/>
      <c r="Q8" s="32"/>
      <c r="R8" s="32">
        <v>44</v>
      </c>
      <c r="S8" s="32" t="str">
        <f>IF(R8&gt;=75,"A",IF(R8&gt;=65,"B",IF(R8&gt;=50,"C",IF(R8&gt;=36,"S","W"))))</f>
        <v>S</v>
      </c>
      <c r="T8" s="32"/>
      <c r="U8" s="32"/>
      <c r="V8" s="33"/>
      <c r="W8" s="33"/>
      <c r="X8" s="34">
        <f>SUM(D8,F8,H8,J8,L8,N8,P8,R8,T8,V8,)</f>
        <v>130</v>
      </c>
      <c r="Y8" s="35">
        <f>X8/3</f>
        <v>43.3333333333333</v>
      </c>
      <c r="Z8" s="34">
        <f>_xlfn.RANK.AVG($Y8,$Y$8:$Y$20,0)</f>
        <v>6</v>
      </c>
      <c r="AA8" s="36">
        <f t="shared" ref="AA8:AA20" si="0">COUNTIF(D8:W8,"A")</f>
        <v>0</v>
      </c>
      <c r="AB8" s="36">
        <f t="shared" ref="AB8:AB20" si="1">COUNTIF(D8:W8,"B")</f>
        <v>0</v>
      </c>
      <c r="AC8" s="36">
        <f t="shared" ref="AC8:AC20" si="2">COUNTIF(D8:W8,"C")</f>
        <v>0</v>
      </c>
      <c r="AD8" s="36">
        <f t="shared" ref="AD8:AD20" si="3">COUNTIF(E8:W8,"S")</f>
        <v>3</v>
      </c>
      <c r="AE8" s="36">
        <f t="shared" ref="AE8:AE20" si="4">COUNTIF(D8:W8,"W")</f>
        <v>0</v>
      </c>
      <c r="AF8" s="37">
        <f>(COUNTIF(D8:W8,"AB"))/2</f>
        <v>0</v>
      </c>
      <c r="AG8" s="38">
        <v>22</v>
      </c>
      <c r="AH8" s="38"/>
    </row>
    <row r="9" ht="16.9" customHeight="1" spans="1:34">
      <c r="A9" s="39">
        <v>2</v>
      </c>
      <c r="B9" s="40" t="s">
        <v>579</v>
      </c>
      <c r="C9" s="26">
        <v>13</v>
      </c>
      <c r="D9" s="41">
        <v>38</v>
      </c>
      <c r="E9" s="28" t="str">
        <f>IF(D9&gt;=75,"A",IF(D9&gt;=65,"B",IF(D9&gt;=50,"C",IF(D9&gt;=36,"S","W"))))</f>
        <v>S</v>
      </c>
      <c r="F9" s="41"/>
      <c r="G9" s="27"/>
      <c r="H9" s="41">
        <v>22</v>
      </c>
      <c r="I9" s="29" t="str">
        <f t="shared" ref="I9:I17" si="5">IF(H9&gt;=75,"A",IF(H9&gt;=65,"B",IF(H9&gt;=50,"C",IF(H9&gt;=36,"S","W"))))</f>
        <v>W</v>
      </c>
      <c r="J9" s="41"/>
      <c r="K9" s="31"/>
      <c r="L9" s="41"/>
      <c r="M9" s="29"/>
      <c r="N9" s="41"/>
      <c r="O9" s="29"/>
      <c r="P9" s="42" t="s">
        <v>29</v>
      </c>
      <c r="Q9" s="42" t="s">
        <v>29</v>
      </c>
      <c r="R9" s="43"/>
      <c r="S9" s="32"/>
      <c r="T9" s="43"/>
      <c r="U9" s="32"/>
      <c r="V9" s="44"/>
      <c r="W9" s="33"/>
      <c r="X9" s="34">
        <f t="shared" ref="X9:X20" si="6">SUM(D9,F9,H9,J9,L9,N9,P9,R9,T9,V9,)</f>
        <v>60</v>
      </c>
      <c r="Y9" s="35">
        <f t="shared" ref="Y9:Y20" si="7">X9/3</f>
        <v>20</v>
      </c>
      <c r="Z9" s="34">
        <f t="shared" ref="Z9:Z20" si="8">_xlfn.RANK.AVG($Y9,$Y$8:$Y$20,0)</f>
        <v>12</v>
      </c>
      <c r="AA9" s="36">
        <f t="shared" si="0"/>
        <v>0</v>
      </c>
      <c r="AB9" s="36">
        <f t="shared" si="1"/>
        <v>0</v>
      </c>
      <c r="AC9" s="36">
        <f t="shared" si="2"/>
        <v>0</v>
      </c>
      <c r="AD9" s="36">
        <f t="shared" si="3"/>
        <v>1</v>
      </c>
      <c r="AE9" s="36">
        <f t="shared" si="4"/>
        <v>1</v>
      </c>
      <c r="AF9" s="37">
        <f t="shared" ref="AF9:AF20" si="9">(COUNTIF(D9:W9,"AB"))/2</f>
        <v>1</v>
      </c>
      <c r="AG9" s="38">
        <v>14</v>
      </c>
      <c r="AH9" s="38"/>
    </row>
    <row r="10" ht="16.9" customHeight="1" spans="1:34">
      <c r="A10" s="24">
        <v>3</v>
      </c>
      <c r="B10" s="25" t="s">
        <v>580</v>
      </c>
      <c r="C10" s="26">
        <v>13</v>
      </c>
      <c r="D10" s="41"/>
      <c r="E10" s="28"/>
      <c r="F10" s="45"/>
      <c r="G10" s="27"/>
      <c r="H10" s="45">
        <v>50</v>
      </c>
      <c r="I10" s="29" t="str">
        <f t="shared" si="5"/>
        <v>C</v>
      </c>
      <c r="J10" s="41"/>
      <c r="K10" s="31"/>
      <c r="L10" s="41">
        <v>54</v>
      </c>
      <c r="M10" s="29" t="str">
        <f t="shared" ref="M10" si="10">IF(L10&gt;=75,"A",IF(L10&gt;=65,"B",IF(L10&gt;=50,"C",IF(L10&gt;=36,"S","W"))))</f>
        <v>C</v>
      </c>
      <c r="N10" s="41"/>
      <c r="O10" s="29"/>
      <c r="P10" s="43">
        <v>38</v>
      </c>
      <c r="Q10" s="32" t="str">
        <f>IF(P10&gt;=75,"A",IF(P10&gt;=65,"B",IF(P10&gt;=50,"C",IF(P10&gt;=36,"S","W"))))</f>
        <v>S</v>
      </c>
      <c r="R10" s="43"/>
      <c r="S10" s="32"/>
      <c r="T10" s="43"/>
      <c r="U10" s="32"/>
      <c r="V10" s="44"/>
      <c r="W10" s="33"/>
      <c r="X10" s="34">
        <f t="shared" si="6"/>
        <v>142</v>
      </c>
      <c r="Y10" s="35">
        <f t="shared" si="7"/>
        <v>47.3333333333333</v>
      </c>
      <c r="Z10" s="34">
        <f t="shared" si="8"/>
        <v>4</v>
      </c>
      <c r="AA10" s="36">
        <f t="shared" si="0"/>
        <v>0</v>
      </c>
      <c r="AB10" s="36">
        <f t="shared" si="1"/>
        <v>0</v>
      </c>
      <c r="AC10" s="36">
        <f t="shared" si="2"/>
        <v>2</v>
      </c>
      <c r="AD10" s="36">
        <f t="shared" si="3"/>
        <v>1</v>
      </c>
      <c r="AE10" s="36">
        <f t="shared" si="4"/>
        <v>0</v>
      </c>
      <c r="AF10" s="37">
        <f t="shared" si="9"/>
        <v>0</v>
      </c>
      <c r="AG10" s="38">
        <v>9</v>
      </c>
      <c r="AH10" s="38"/>
    </row>
    <row r="11" ht="16.9" customHeight="1" spans="1:34">
      <c r="A11" s="39">
        <v>4</v>
      </c>
      <c r="B11" s="40" t="s">
        <v>581</v>
      </c>
      <c r="C11" s="26">
        <v>13</v>
      </c>
      <c r="D11" s="46" t="s">
        <v>29</v>
      </c>
      <c r="E11" s="46" t="s">
        <v>29</v>
      </c>
      <c r="F11" s="45"/>
      <c r="G11" s="27"/>
      <c r="H11" s="45"/>
      <c r="I11" s="29"/>
      <c r="J11" s="41"/>
      <c r="K11" s="31"/>
      <c r="L11" s="41"/>
      <c r="M11" s="29"/>
      <c r="N11" s="41"/>
      <c r="O11" s="29"/>
      <c r="P11" s="43"/>
      <c r="Q11" s="32"/>
      <c r="R11" s="43">
        <v>40</v>
      </c>
      <c r="S11" s="32" t="str">
        <f t="shared" ref="S11:S13" si="11">IF(R11&gt;=75,"A",IF(R11&gt;=65,"B",IF(R11&gt;=50,"C",IF(R11&gt;=36,"S","W"))))</f>
        <v>S</v>
      </c>
      <c r="T11" s="43">
        <v>37</v>
      </c>
      <c r="U11" s="32" t="str">
        <f t="shared" ref="U11" si="12">IF(T11&gt;=75,"A",IF(T11&gt;=65,"B",IF(T11&gt;=50,"C",IF(T11&gt;=36,"S","W"))))</f>
        <v>S</v>
      </c>
      <c r="V11" s="44"/>
      <c r="W11" s="33"/>
      <c r="X11" s="34">
        <f t="shared" si="6"/>
        <v>77</v>
      </c>
      <c r="Y11" s="35">
        <f t="shared" si="7"/>
        <v>25.6666666666667</v>
      </c>
      <c r="Z11" s="34">
        <f t="shared" si="8"/>
        <v>11</v>
      </c>
      <c r="AA11" s="36">
        <f t="shared" si="0"/>
        <v>0</v>
      </c>
      <c r="AB11" s="36">
        <f t="shared" si="1"/>
        <v>0</v>
      </c>
      <c r="AC11" s="36">
        <f t="shared" si="2"/>
        <v>0</v>
      </c>
      <c r="AD11" s="36">
        <f t="shared" si="3"/>
        <v>2</v>
      </c>
      <c r="AE11" s="36">
        <f t="shared" si="4"/>
        <v>0</v>
      </c>
      <c r="AF11" s="37">
        <f t="shared" si="9"/>
        <v>1</v>
      </c>
      <c r="AG11" s="47" t="s">
        <v>562</v>
      </c>
      <c r="AH11" s="38"/>
    </row>
    <row r="12" ht="16.9" customHeight="1" spans="1:34">
      <c r="A12" s="24">
        <v>5</v>
      </c>
      <c r="B12" s="25" t="s">
        <v>582</v>
      </c>
      <c r="C12" s="26">
        <v>13</v>
      </c>
      <c r="D12" s="41">
        <v>80</v>
      </c>
      <c r="E12" s="28" t="str">
        <f>IF(D12&gt;=75,"A",IF(D12&gt;=65,"B",IF(D12&gt;=50,"C",IF(D12&gt;=36,"S","W"))))</f>
        <v>A</v>
      </c>
      <c r="F12" s="41">
        <v>82</v>
      </c>
      <c r="G12" s="27" t="str">
        <f t="shared" ref="G12:G18" si="13">IF(F12&gt;=75,"A",IF(F12&gt;=65,"B",IF(F12&gt;=50,"C",IF(F12&gt;=36,"S","W"))))</f>
        <v>A</v>
      </c>
      <c r="H12" s="41"/>
      <c r="I12" s="29"/>
      <c r="J12" s="41"/>
      <c r="K12" s="31"/>
      <c r="L12" s="41"/>
      <c r="M12" s="29"/>
      <c r="N12" s="41">
        <v>52</v>
      </c>
      <c r="O12" s="29" t="str">
        <f t="shared" ref="O12" si="14">IF(N12&gt;=75,"A",IF(N12&gt;=65,"B",IF(N12&gt;=50,"C",IF(N12&gt;=36,"S","W"))))</f>
        <v>C</v>
      </c>
      <c r="P12" s="43"/>
      <c r="Q12" s="32"/>
      <c r="R12" s="43"/>
      <c r="S12" s="32"/>
      <c r="T12" s="43"/>
      <c r="U12" s="32"/>
      <c r="V12" s="44"/>
      <c r="W12" s="33"/>
      <c r="X12" s="34">
        <f t="shared" si="6"/>
        <v>214</v>
      </c>
      <c r="Y12" s="35">
        <f t="shared" si="7"/>
        <v>71.3333333333333</v>
      </c>
      <c r="Z12" s="34">
        <f t="shared" si="8"/>
        <v>1</v>
      </c>
      <c r="AA12" s="36">
        <f t="shared" si="0"/>
        <v>2</v>
      </c>
      <c r="AB12" s="36">
        <f t="shared" si="1"/>
        <v>0</v>
      </c>
      <c r="AC12" s="36">
        <f t="shared" si="2"/>
        <v>1</v>
      </c>
      <c r="AD12" s="36">
        <f t="shared" si="3"/>
        <v>0</v>
      </c>
      <c r="AE12" s="36">
        <f t="shared" si="4"/>
        <v>0</v>
      </c>
      <c r="AF12" s="37">
        <f t="shared" si="9"/>
        <v>0</v>
      </c>
      <c r="AG12" s="38">
        <v>18</v>
      </c>
      <c r="AH12" s="38"/>
    </row>
    <row r="13" ht="16.9" customHeight="1" spans="1:34">
      <c r="A13" s="39">
        <v>6</v>
      </c>
      <c r="B13" s="40" t="s">
        <v>583</v>
      </c>
      <c r="C13" s="26">
        <v>13</v>
      </c>
      <c r="D13" s="41">
        <v>63</v>
      </c>
      <c r="E13" s="28" t="str">
        <f>IF(D13&gt;=75,"A",IF(D13&gt;=65,"B",IF(D13&gt;=50,"C",IF(D13&gt;=36,"S","W"))))</f>
        <v>C</v>
      </c>
      <c r="F13" s="41">
        <v>71</v>
      </c>
      <c r="G13" s="27" t="str">
        <f t="shared" si="13"/>
        <v>B</v>
      </c>
      <c r="H13" s="41"/>
      <c r="I13" s="29"/>
      <c r="J13" s="41"/>
      <c r="K13" s="31"/>
      <c r="L13" s="41"/>
      <c r="M13" s="29"/>
      <c r="N13" s="41"/>
      <c r="O13" s="29"/>
      <c r="P13" s="43"/>
      <c r="Q13" s="32"/>
      <c r="R13" s="43">
        <v>41</v>
      </c>
      <c r="S13" s="32" t="str">
        <f t="shared" si="11"/>
        <v>S</v>
      </c>
      <c r="T13" s="43"/>
      <c r="U13" s="32"/>
      <c r="V13" s="44"/>
      <c r="W13" s="33"/>
      <c r="X13" s="34">
        <f t="shared" si="6"/>
        <v>175</v>
      </c>
      <c r="Y13" s="35">
        <f t="shared" si="7"/>
        <v>58.3333333333333</v>
      </c>
      <c r="Z13" s="34">
        <f t="shared" si="8"/>
        <v>2</v>
      </c>
      <c r="AA13" s="36">
        <f t="shared" si="0"/>
        <v>0</v>
      </c>
      <c r="AB13" s="36">
        <f t="shared" si="1"/>
        <v>1</v>
      </c>
      <c r="AC13" s="36">
        <f t="shared" si="2"/>
        <v>1</v>
      </c>
      <c r="AD13" s="36">
        <f t="shared" si="3"/>
        <v>1</v>
      </c>
      <c r="AE13" s="36">
        <f t="shared" si="4"/>
        <v>0</v>
      </c>
      <c r="AF13" s="37">
        <f t="shared" si="9"/>
        <v>0</v>
      </c>
      <c r="AG13" s="38">
        <v>22</v>
      </c>
      <c r="AH13" s="38"/>
    </row>
    <row r="14" ht="16.9" customHeight="1" spans="1:34">
      <c r="A14" s="24">
        <v>7</v>
      </c>
      <c r="B14" s="25" t="s">
        <v>584</v>
      </c>
      <c r="C14" s="26">
        <v>13</v>
      </c>
      <c r="D14" s="41">
        <v>47</v>
      </c>
      <c r="E14" s="28" t="str">
        <f>IF(D14&gt;=75,"A",IF(D14&gt;=65,"B",IF(D14&gt;=50,"C",IF(D14&gt;=36,"S","W"))))</f>
        <v>S</v>
      </c>
      <c r="F14" s="41"/>
      <c r="G14" s="27"/>
      <c r="H14" s="41">
        <v>27</v>
      </c>
      <c r="I14" s="29" t="str">
        <f t="shared" si="5"/>
        <v>W</v>
      </c>
      <c r="J14" s="41"/>
      <c r="K14" s="31"/>
      <c r="L14" s="41"/>
      <c r="M14" s="29"/>
      <c r="N14" s="41"/>
      <c r="O14" s="29"/>
      <c r="P14" s="43">
        <v>8</v>
      </c>
      <c r="Q14" s="32" t="str">
        <f t="shared" ref="Q14:Q20" si="15">IF(P14&gt;=75,"A",IF(P14&gt;=65,"B",IF(P14&gt;=50,"C",IF(P14&gt;=36,"S","W"))))</f>
        <v>W</v>
      </c>
      <c r="R14" s="43"/>
      <c r="S14" s="32"/>
      <c r="T14" s="43"/>
      <c r="U14" s="32"/>
      <c r="V14" s="44"/>
      <c r="W14" s="33"/>
      <c r="X14" s="34">
        <f t="shared" si="6"/>
        <v>82</v>
      </c>
      <c r="Y14" s="35">
        <f t="shared" si="7"/>
        <v>27.3333333333333</v>
      </c>
      <c r="Z14" s="34">
        <f t="shared" si="8"/>
        <v>10</v>
      </c>
      <c r="AA14" s="36">
        <f t="shared" si="0"/>
        <v>0</v>
      </c>
      <c r="AB14" s="36">
        <f t="shared" si="1"/>
        <v>0</v>
      </c>
      <c r="AC14" s="36">
        <f t="shared" si="2"/>
        <v>0</v>
      </c>
      <c r="AD14" s="36">
        <f t="shared" si="3"/>
        <v>1</v>
      </c>
      <c r="AE14" s="36">
        <f t="shared" si="4"/>
        <v>2</v>
      </c>
      <c r="AF14" s="37">
        <f t="shared" si="9"/>
        <v>0</v>
      </c>
      <c r="AG14" s="38">
        <v>58</v>
      </c>
      <c r="AH14" s="38"/>
    </row>
    <row r="15" ht="16.9" customHeight="1" spans="1:34">
      <c r="A15" s="39">
        <v>8</v>
      </c>
      <c r="B15" s="40" t="s">
        <v>585</v>
      </c>
      <c r="C15" s="26">
        <v>13</v>
      </c>
      <c r="D15" s="46" t="s">
        <v>29</v>
      </c>
      <c r="E15" s="46" t="s">
        <v>29</v>
      </c>
      <c r="F15" s="41"/>
      <c r="G15" s="27"/>
      <c r="H15" s="41"/>
      <c r="I15" s="29"/>
      <c r="J15" s="41"/>
      <c r="K15" s="31"/>
      <c r="L15" s="41"/>
      <c r="M15" s="29"/>
      <c r="N15" s="41"/>
      <c r="O15" s="29"/>
      <c r="P15" s="43"/>
      <c r="Q15" s="32"/>
      <c r="R15" s="42" t="s">
        <v>29</v>
      </c>
      <c r="S15" s="42" t="s">
        <v>29</v>
      </c>
      <c r="T15" s="42" t="s">
        <v>29</v>
      </c>
      <c r="U15" s="42" t="s">
        <v>29</v>
      </c>
      <c r="V15" s="44"/>
      <c r="W15" s="33"/>
      <c r="X15" s="34" t="s">
        <v>29</v>
      </c>
      <c r="Y15" s="35" t="s">
        <v>29</v>
      </c>
      <c r="Z15" s="34">
        <v>13</v>
      </c>
      <c r="AA15" s="36">
        <f t="shared" si="0"/>
        <v>0</v>
      </c>
      <c r="AB15" s="36">
        <f t="shared" si="1"/>
        <v>0</v>
      </c>
      <c r="AC15" s="36">
        <f t="shared" si="2"/>
        <v>0</v>
      </c>
      <c r="AD15" s="36">
        <f t="shared" si="3"/>
        <v>0</v>
      </c>
      <c r="AE15" s="36">
        <f t="shared" si="4"/>
        <v>0</v>
      </c>
      <c r="AF15" s="37">
        <f t="shared" si="9"/>
        <v>3</v>
      </c>
      <c r="AG15" s="47" t="s">
        <v>562</v>
      </c>
      <c r="AH15" s="38"/>
    </row>
    <row r="16" ht="16.9" customHeight="1" spans="1:34">
      <c r="A16" s="24">
        <v>9</v>
      </c>
      <c r="B16" s="25" t="s">
        <v>586</v>
      </c>
      <c r="C16" s="26">
        <v>13</v>
      </c>
      <c r="D16" s="41"/>
      <c r="E16" s="28"/>
      <c r="F16" s="41"/>
      <c r="G16" s="27"/>
      <c r="H16" s="41">
        <v>25</v>
      </c>
      <c r="I16" s="29" t="str">
        <f t="shared" si="5"/>
        <v>W</v>
      </c>
      <c r="J16" s="41">
        <v>84</v>
      </c>
      <c r="K16" s="31" t="str">
        <f t="shared" ref="K16" si="16">IF(J16&gt;=75,"A",IF(J16&gt;=65,"B",IF(J16&gt;=50,"C",IF(J16&gt;=36,"S","W"))))</f>
        <v>A</v>
      </c>
      <c r="L16" s="41"/>
      <c r="M16" s="29"/>
      <c r="N16" s="41"/>
      <c r="O16" s="29"/>
      <c r="P16" s="43">
        <v>49</v>
      </c>
      <c r="Q16" s="32" t="str">
        <f t="shared" si="15"/>
        <v>S</v>
      </c>
      <c r="R16" s="43"/>
      <c r="S16" s="32"/>
      <c r="T16" s="43"/>
      <c r="U16" s="32"/>
      <c r="V16" s="44"/>
      <c r="W16" s="33"/>
      <c r="X16" s="34">
        <f t="shared" si="6"/>
        <v>158</v>
      </c>
      <c r="Y16" s="35">
        <f t="shared" si="7"/>
        <v>52.6666666666667</v>
      </c>
      <c r="Z16" s="34">
        <f t="shared" si="8"/>
        <v>3</v>
      </c>
      <c r="AA16" s="36">
        <f t="shared" si="0"/>
        <v>1</v>
      </c>
      <c r="AB16" s="36">
        <f t="shared" si="1"/>
        <v>0</v>
      </c>
      <c r="AC16" s="36">
        <f t="shared" si="2"/>
        <v>0</v>
      </c>
      <c r="AD16" s="36">
        <f t="shared" si="3"/>
        <v>1</v>
      </c>
      <c r="AE16" s="36">
        <f t="shared" si="4"/>
        <v>1</v>
      </c>
      <c r="AF16" s="37">
        <f t="shared" si="9"/>
        <v>0</v>
      </c>
      <c r="AG16" s="47" t="s">
        <v>562</v>
      </c>
      <c r="AH16" s="38"/>
    </row>
    <row r="17" ht="16.9" customHeight="1" spans="1:34">
      <c r="A17" s="39">
        <v>10</v>
      </c>
      <c r="B17" s="40" t="s">
        <v>587</v>
      </c>
      <c r="C17" s="26">
        <v>13</v>
      </c>
      <c r="D17" s="41">
        <v>42</v>
      </c>
      <c r="E17" s="28" t="str">
        <f>IF(D17&gt;=75,"A",IF(D17&gt;=65,"B",IF(D17&gt;=50,"C",IF(D17&gt;=36,"S","W"))))</f>
        <v>S</v>
      </c>
      <c r="F17" s="41"/>
      <c r="G17" s="27"/>
      <c r="H17" s="41">
        <v>15</v>
      </c>
      <c r="I17" s="29" t="str">
        <f t="shared" si="5"/>
        <v>W</v>
      </c>
      <c r="J17" s="41"/>
      <c r="K17" s="31"/>
      <c r="L17" s="41"/>
      <c r="M17" s="29"/>
      <c r="N17" s="41"/>
      <c r="O17" s="29"/>
      <c r="P17" s="43">
        <v>52</v>
      </c>
      <c r="Q17" s="32" t="str">
        <f t="shared" si="15"/>
        <v>C</v>
      </c>
      <c r="R17" s="43"/>
      <c r="S17" s="32"/>
      <c r="T17" s="43"/>
      <c r="U17" s="32"/>
      <c r="V17" s="44"/>
      <c r="W17" s="33"/>
      <c r="X17" s="34">
        <f t="shared" si="6"/>
        <v>109</v>
      </c>
      <c r="Y17" s="35">
        <f t="shared" si="7"/>
        <v>36.3333333333333</v>
      </c>
      <c r="Z17" s="34">
        <f t="shared" si="8"/>
        <v>8</v>
      </c>
      <c r="AA17" s="36">
        <f t="shared" si="0"/>
        <v>0</v>
      </c>
      <c r="AB17" s="36">
        <f t="shared" si="1"/>
        <v>0</v>
      </c>
      <c r="AC17" s="36">
        <f t="shared" si="2"/>
        <v>1</v>
      </c>
      <c r="AD17" s="36">
        <f t="shared" si="3"/>
        <v>1</v>
      </c>
      <c r="AE17" s="36">
        <f t="shared" si="4"/>
        <v>1</v>
      </c>
      <c r="AF17" s="37">
        <f t="shared" si="9"/>
        <v>0</v>
      </c>
      <c r="AG17" s="38">
        <v>13</v>
      </c>
      <c r="AH17" s="38"/>
    </row>
    <row r="18" ht="16.9" customHeight="1" spans="1:34">
      <c r="A18" s="24">
        <v>11</v>
      </c>
      <c r="B18" s="25" t="s">
        <v>588</v>
      </c>
      <c r="C18" s="26">
        <v>13</v>
      </c>
      <c r="D18" s="41">
        <v>39</v>
      </c>
      <c r="E18" s="28" t="str">
        <f>IF(D18&gt;=75,"A",IF(D18&gt;=65,"B",IF(D18&gt;=50,"C",IF(D18&gt;=36,"S","W"))))</f>
        <v>S</v>
      </c>
      <c r="F18" s="41">
        <v>53</v>
      </c>
      <c r="G18" s="27" t="str">
        <f t="shared" si="13"/>
        <v>C</v>
      </c>
      <c r="H18" s="41"/>
      <c r="I18" s="29"/>
      <c r="J18" s="41"/>
      <c r="K18" s="31"/>
      <c r="L18" s="41"/>
      <c r="M18" s="29"/>
      <c r="N18" s="41"/>
      <c r="O18" s="29"/>
      <c r="P18" s="43">
        <v>49</v>
      </c>
      <c r="Q18" s="32" t="str">
        <f t="shared" si="15"/>
        <v>S</v>
      </c>
      <c r="R18" s="43"/>
      <c r="S18" s="32"/>
      <c r="T18" s="43"/>
      <c r="U18" s="32"/>
      <c r="V18" s="44"/>
      <c r="W18" s="33"/>
      <c r="X18" s="34">
        <f t="shared" si="6"/>
        <v>141</v>
      </c>
      <c r="Y18" s="35">
        <f t="shared" si="7"/>
        <v>47</v>
      </c>
      <c r="Z18" s="34">
        <f t="shared" si="8"/>
        <v>5</v>
      </c>
      <c r="AA18" s="36">
        <f t="shared" si="0"/>
        <v>0</v>
      </c>
      <c r="AB18" s="36">
        <f t="shared" si="1"/>
        <v>0</v>
      </c>
      <c r="AC18" s="36">
        <f t="shared" si="2"/>
        <v>1</v>
      </c>
      <c r="AD18" s="36">
        <f t="shared" si="3"/>
        <v>2</v>
      </c>
      <c r="AE18" s="36">
        <f t="shared" si="4"/>
        <v>0</v>
      </c>
      <c r="AF18" s="37">
        <f t="shared" si="9"/>
        <v>0</v>
      </c>
      <c r="AG18" s="38">
        <v>18</v>
      </c>
      <c r="AH18" s="38"/>
    </row>
    <row r="19" ht="16.9" customHeight="1" spans="1:34">
      <c r="A19" s="24">
        <v>16</v>
      </c>
      <c r="B19" s="48" t="s">
        <v>589</v>
      </c>
      <c r="C19" s="26">
        <v>13</v>
      </c>
      <c r="D19" s="29">
        <v>24</v>
      </c>
      <c r="E19" s="28" t="str">
        <f>IF(D19&gt;=75,"A",IF(D19&gt;=65,"B",IF(D19&gt;=50,"C",IF(D19&gt;=36,"S","W"))))</f>
        <v>W</v>
      </c>
      <c r="F19" s="29"/>
      <c r="G19" s="49"/>
      <c r="H19" s="29"/>
      <c r="I19" s="29"/>
      <c r="J19" s="50"/>
      <c r="K19" s="41"/>
      <c r="L19" s="41"/>
      <c r="M19" s="41"/>
      <c r="N19" s="29"/>
      <c r="O19" s="41"/>
      <c r="P19" s="51">
        <v>41</v>
      </c>
      <c r="Q19" s="32" t="str">
        <f t="shared" si="15"/>
        <v>S</v>
      </c>
      <c r="R19" s="51"/>
      <c r="S19" s="43"/>
      <c r="T19" s="43"/>
      <c r="U19" s="43"/>
      <c r="V19" s="52">
        <v>41</v>
      </c>
      <c r="W19" s="33" t="str">
        <f t="shared" ref="W19:W20" si="17">IF(V19&gt;=75,"A",IF(V19&gt;=65,"B",IF(V19&gt;=50,"C",IF(V19&gt;=36,"S","W"))))</f>
        <v>S</v>
      </c>
      <c r="X19" s="34">
        <f t="shared" si="6"/>
        <v>106</v>
      </c>
      <c r="Y19" s="35">
        <f t="shared" si="7"/>
        <v>35.3333333333333</v>
      </c>
      <c r="Z19" s="34">
        <f t="shared" si="8"/>
        <v>9</v>
      </c>
      <c r="AA19" s="36">
        <f t="shared" si="0"/>
        <v>0</v>
      </c>
      <c r="AB19" s="36">
        <f t="shared" si="1"/>
        <v>0</v>
      </c>
      <c r="AC19" s="36">
        <f t="shared" si="2"/>
        <v>0</v>
      </c>
      <c r="AD19" s="36">
        <f t="shared" si="3"/>
        <v>2</v>
      </c>
      <c r="AE19" s="36">
        <f t="shared" si="4"/>
        <v>1</v>
      </c>
      <c r="AF19" s="37">
        <f t="shared" si="9"/>
        <v>0</v>
      </c>
      <c r="AG19" s="47" t="s">
        <v>562</v>
      </c>
      <c r="AH19" s="38"/>
    </row>
    <row r="20" ht="16.9" customHeight="1" spans="1:34">
      <c r="A20" s="24">
        <v>17</v>
      </c>
      <c r="B20" s="48" t="s">
        <v>590</v>
      </c>
      <c r="C20" s="26">
        <v>13</v>
      </c>
      <c r="D20" s="29">
        <v>42</v>
      </c>
      <c r="E20" s="28" t="str">
        <f>IF(D20&gt;=75,"A",IF(D20&gt;=65,"B",IF(D20&gt;=50,"C",IF(D20&gt;=36,"S","W"))))</f>
        <v>S</v>
      </c>
      <c r="F20" s="29"/>
      <c r="G20" s="49"/>
      <c r="H20" s="29"/>
      <c r="I20" s="29"/>
      <c r="J20" s="50"/>
      <c r="K20" s="41"/>
      <c r="L20" s="41"/>
      <c r="M20" s="41"/>
      <c r="N20" s="29"/>
      <c r="O20" s="41"/>
      <c r="P20" s="51">
        <v>38</v>
      </c>
      <c r="Q20" s="32" t="str">
        <f t="shared" si="15"/>
        <v>S</v>
      </c>
      <c r="R20" s="51"/>
      <c r="S20" s="43"/>
      <c r="T20" s="43"/>
      <c r="U20" s="43"/>
      <c r="V20" s="52">
        <v>37</v>
      </c>
      <c r="W20" s="33" t="str">
        <f t="shared" si="17"/>
        <v>S</v>
      </c>
      <c r="X20" s="34">
        <f t="shared" si="6"/>
        <v>117</v>
      </c>
      <c r="Y20" s="35">
        <f t="shared" si="7"/>
        <v>39</v>
      </c>
      <c r="Z20" s="34">
        <f t="shared" si="8"/>
        <v>7</v>
      </c>
      <c r="AA20" s="36">
        <f t="shared" si="0"/>
        <v>0</v>
      </c>
      <c r="AB20" s="36">
        <f t="shared" si="1"/>
        <v>0</v>
      </c>
      <c r="AC20" s="36">
        <f t="shared" si="2"/>
        <v>0</v>
      </c>
      <c r="AD20" s="36">
        <f t="shared" si="3"/>
        <v>3</v>
      </c>
      <c r="AE20" s="36">
        <f t="shared" si="4"/>
        <v>0</v>
      </c>
      <c r="AF20" s="37">
        <f t="shared" si="9"/>
        <v>0</v>
      </c>
      <c r="AG20" s="38">
        <v>20</v>
      </c>
      <c r="AH20" s="38"/>
    </row>
    <row r="21" ht="16.9" customHeight="1" spans="1:34">
      <c r="A21" s="53" t="s">
        <v>62</v>
      </c>
      <c r="B21" s="54"/>
      <c r="C21" s="55"/>
      <c r="D21" s="56"/>
      <c r="E21" s="57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8"/>
      <c r="Y21" s="58"/>
      <c r="Z21" s="58"/>
      <c r="AE21" s="59"/>
      <c r="AF21" s="60"/>
    </row>
    <row r="22" ht="16.9" customHeight="1" spans="1:34">
      <c r="A22" s="53" t="s">
        <v>63</v>
      </c>
      <c r="B22" s="54"/>
      <c r="C22" s="61" t="s">
        <v>24</v>
      </c>
      <c r="D22" s="56"/>
      <c r="E22" s="62">
        <f>COUNTIF(E8:E20,"A")</f>
        <v>1</v>
      </c>
      <c r="F22" s="56"/>
      <c r="G22" s="63">
        <f>COUNTIF(G8:G20,"A")</f>
        <v>1</v>
      </c>
      <c r="H22" s="56"/>
      <c r="I22" s="63">
        <f>COUNTIF(I8:I20,"A")</f>
        <v>0</v>
      </c>
      <c r="J22" s="56"/>
      <c r="K22" s="63">
        <f>COUNTIF(K8:K20,"A")</f>
        <v>1</v>
      </c>
      <c r="L22" s="63"/>
      <c r="M22" s="63">
        <f>COUNTIF(M8:M20,"A")</f>
        <v>0</v>
      </c>
      <c r="N22" s="63"/>
      <c r="O22" s="63">
        <f>COUNTIF(O8:O20,"A")</f>
        <v>0</v>
      </c>
      <c r="P22" s="63"/>
      <c r="Q22" s="63">
        <f>COUNTIF(Q8:Q20,"A")</f>
        <v>0</v>
      </c>
      <c r="R22" s="56"/>
      <c r="S22" s="63">
        <f>COUNTIF(S8:S20,"A")</f>
        <v>0</v>
      </c>
      <c r="T22" s="56"/>
      <c r="U22" s="63">
        <f>COUNTIF(U8:U20,"A")</f>
        <v>0</v>
      </c>
      <c r="V22" s="56"/>
      <c r="W22" s="63">
        <f>COUNTIF(W8:W20,"A")</f>
        <v>0</v>
      </c>
      <c r="X22" s="64"/>
      <c r="Y22" s="64"/>
      <c r="Z22" s="64"/>
      <c r="AE22" s="59"/>
      <c r="AF22" s="60"/>
    </row>
    <row r="23" ht="16.9" customHeight="1" spans="1:34">
      <c r="A23" s="53" t="s">
        <v>64</v>
      </c>
      <c r="B23" s="54"/>
      <c r="C23" s="55" t="s">
        <v>25</v>
      </c>
      <c r="D23" s="56"/>
      <c r="E23" s="62">
        <f>COUNTIF(E8:E20,"B")</f>
        <v>0</v>
      </c>
      <c r="F23" s="56"/>
      <c r="G23" s="63">
        <f>COUNTIF(G8:G20,"B")</f>
        <v>1</v>
      </c>
      <c r="H23" s="56"/>
      <c r="I23" s="63">
        <f>COUNTIF(I8:I20,"B")</f>
        <v>0</v>
      </c>
      <c r="J23" s="56"/>
      <c r="K23" s="63">
        <f>COUNTIF(K8:K20,"B")</f>
        <v>0</v>
      </c>
      <c r="L23" s="56"/>
      <c r="M23" s="63">
        <f>COUNTIF(M8:M20,"B")</f>
        <v>0</v>
      </c>
      <c r="N23" s="56"/>
      <c r="O23" s="63">
        <f>COUNTIF(O8:O20,"B")</f>
        <v>0</v>
      </c>
      <c r="P23" s="56"/>
      <c r="Q23" s="63">
        <f>COUNTIF(Q8:Q20,"B")</f>
        <v>0</v>
      </c>
      <c r="R23" s="56"/>
      <c r="S23" s="63">
        <f>COUNTIF(S8:S20,"B")</f>
        <v>0</v>
      </c>
      <c r="T23" s="56"/>
      <c r="U23" s="63">
        <f>COUNTIF(U8:U20,"B")</f>
        <v>0</v>
      </c>
      <c r="V23" s="56"/>
      <c r="W23" s="63">
        <f>COUNTIF(W8:W20,"B")</f>
        <v>0</v>
      </c>
      <c r="X23" s="64"/>
      <c r="Y23" s="64"/>
      <c r="Z23" s="64"/>
    </row>
    <row r="24" ht="16.9" customHeight="1" spans="1:34">
      <c r="A24" s="53" t="s">
        <v>65</v>
      </c>
      <c r="B24" s="54"/>
      <c r="C24" s="55" t="s">
        <v>26</v>
      </c>
      <c r="D24" s="56"/>
      <c r="E24" s="62">
        <f>COUNTIF(E8:E20,"C")</f>
        <v>1</v>
      </c>
      <c r="F24" s="56"/>
      <c r="G24" s="63">
        <f>COUNTIF(G8:G20,"C")</f>
        <v>1</v>
      </c>
      <c r="H24" s="56"/>
      <c r="I24" s="63">
        <f>COUNTIF(I8:I20,"C")</f>
        <v>1</v>
      </c>
      <c r="J24" s="56"/>
      <c r="K24" s="63">
        <f>COUNTIF(K8:K20,"C")</f>
        <v>0</v>
      </c>
      <c r="L24" s="56"/>
      <c r="M24" s="63">
        <f>COUNTIF(M8:M20,"C")</f>
        <v>1</v>
      </c>
      <c r="N24" s="56"/>
      <c r="O24" s="63">
        <f>COUNTIF(O8:O20,"C")</f>
        <v>1</v>
      </c>
      <c r="P24" s="56"/>
      <c r="Q24" s="63">
        <f>COUNTIF(Q8:Q20,"C")</f>
        <v>1</v>
      </c>
      <c r="R24" s="56"/>
      <c r="S24" s="63">
        <f>COUNTIF(S8:S20,"C")</f>
        <v>0</v>
      </c>
      <c r="T24" s="56"/>
      <c r="U24" s="63">
        <f>COUNTIF(U8:U20,"C")</f>
        <v>0</v>
      </c>
      <c r="V24" s="56"/>
      <c r="W24" s="63">
        <f>COUNTIF(W8:W20,"C")</f>
        <v>0</v>
      </c>
      <c r="X24" s="64"/>
      <c r="Y24" s="64"/>
      <c r="Z24" s="64"/>
    </row>
    <row r="25" ht="16.9" customHeight="1" spans="1:34">
      <c r="A25" s="53" t="s">
        <v>413</v>
      </c>
      <c r="B25" s="54"/>
      <c r="C25" s="55" t="s">
        <v>27</v>
      </c>
      <c r="D25" s="56"/>
      <c r="E25" s="62">
        <f>COUNTIF(E8:E20,"S")</f>
        <v>5</v>
      </c>
      <c r="F25" s="56"/>
      <c r="G25" s="63">
        <f>COUNTIF(G8:G20,"S")</f>
        <v>0</v>
      </c>
      <c r="H25" s="56"/>
      <c r="I25" s="63">
        <f>COUNTIF(I8:I20,"S")</f>
        <v>1</v>
      </c>
      <c r="J25" s="56"/>
      <c r="K25" s="63">
        <f>COUNTIF(K8:K20,"S")</f>
        <v>0</v>
      </c>
      <c r="L25" s="56"/>
      <c r="M25" s="63">
        <f>COUNTIF(M8:M20,"S")</f>
        <v>1</v>
      </c>
      <c r="N25" s="56"/>
      <c r="O25" s="63">
        <f>COUNTIF(O8:O20,"S")</f>
        <v>0</v>
      </c>
      <c r="P25" s="56"/>
      <c r="Q25" s="63">
        <f>COUNTIF(Q8:Q20,"S")</f>
        <v>5</v>
      </c>
      <c r="R25" s="56"/>
      <c r="S25" s="63">
        <f>COUNTIF(S8:S20,"S")</f>
        <v>3</v>
      </c>
      <c r="T25" s="56"/>
      <c r="U25" s="63">
        <f>COUNTIF(U8:U20,"S")</f>
        <v>1</v>
      </c>
      <c r="V25" s="56"/>
      <c r="W25" s="63">
        <f>COUNTIF(W8:W20,"S")</f>
        <v>2</v>
      </c>
      <c r="X25" s="64"/>
      <c r="Y25" s="64"/>
      <c r="Z25" s="64"/>
    </row>
    <row r="26" ht="16.9" customHeight="1" spans="1:34">
      <c r="A26" s="53" t="s">
        <v>414</v>
      </c>
      <c r="B26" s="54"/>
      <c r="C26" s="55" t="s">
        <v>28</v>
      </c>
      <c r="D26" s="56"/>
      <c r="E26" s="62">
        <f>COUNTIF(E8:E20,"W")</f>
        <v>1</v>
      </c>
      <c r="F26" s="56"/>
      <c r="G26" s="63">
        <f>COUNTIF(G8:G20,"W")</f>
        <v>0</v>
      </c>
      <c r="H26" s="56"/>
      <c r="I26" s="63">
        <f>COUNTIF(I8:I20,"W")</f>
        <v>4</v>
      </c>
      <c r="J26" s="56"/>
      <c r="K26" s="63">
        <f>COUNTIF(K8:K20,"W")</f>
        <v>0</v>
      </c>
      <c r="L26" s="56"/>
      <c r="M26" s="63">
        <f>COUNTIF(M8:M20,"W")</f>
        <v>0</v>
      </c>
      <c r="N26" s="56"/>
      <c r="O26" s="63">
        <f>COUNTIF(O8:O20,"W")</f>
        <v>0</v>
      </c>
      <c r="P26" s="56"/>
      <c r="Q26" s="63">
        <f>COUNTIF(Q8:Q20,"W")</f>
        <v>1</v>
      </c>
      <c r="R26" s="56"/>
      <c r="S26" s="63">
        <f>COUNTIF(S8:S20,"W")</f>
        <v>0</v>
      </c>
      <c r="T26" s="56"/>
      <c r="U26" s="63">
        <f>COUNTIF(U8:U20,"W")</f>
        <v>0</v>
      </c>
      <c r="V26" s="56"/>
      <c r="W26" s="63">
        <f>COUNTIF(W8:W20,"W")</f>
        <v>0</v>
      </c>
      <c r="X26" s="64"/>
      <c r="Y26" s="64"/>
      <c r="Z26" s="64"/>
    </row>
    <row r="27" ht="16.9" customHeight="1" spans="1:34">
      <c r="A27" s="53"/>
      <c r="B27" s="54"/>
      <c r="C27" s="55" t="s">
        <v>29</v>
      </c>
      <c r="D27" s="56"/>
      <c r="E27" s="62">
        <f>COUNTIF(E8:E20,"AB")</f>
        <v>2</v>
      </c>
      <c r="F27" s="56"/>
      <c r="G27" s="63">
        <f>COUNTIF(G8:G20,"AB")</f>
        <v>0</v>
      </c>
      <c r="H27" s="56"/>
      <c r="I27" s="63">
        <f>COUNTIF(I8:I20,"AB")</f>
        <v>0</v>
      </c>
      <c r="J27" s="56"/>
      <c r="K27" s="63">
        <f>COUNTIF(K8:K20,"AB")</f>
        <v>0</v>
      </c>
      <c r="L27" s="56"/>
      <c r="M27" s="63">
        <f>COUNTIF(M8:M20,"AB")</f>
        <v>0</v>
      </c>
      <c r="N27" s="56"/>
      <c r="O27" s="63">
        <f>COUNTIF(O8:O20,"AB")</f>
        <v>0</v>
      </c>
      <c r="P27" s="56"/>
      <c r="Q27" s="63">
        <f>COUNTIF(Q8:Q20,"AB")</f>
        <v>1</v>
      </c>
      <c r="R27" s="56"/>
      <c r="S27" s="63">
        <f>COUNTIF(S8:S20,"AB")</f>
        <v>1</v>
      </c>
      <c r="T27" s="56"/>
      <c r="U27" s="63">
        <f>COUNTIF(U8:U20,"AB")</f>
        <v>1</v>
      </c>
      <c r="V27" s="56"/>
      <c r="W27" s="63">
        <f>COUNTIF(W8:W20,"AB")</f>
        <v>0</v>
      </c>
      <c r="X27" s="64"/>
      <c r="Y27" s="64"/>
      <c r="Z27" s="64"/>
    </row>
    <row r="28" ht="16.9" customHeight="1" spans="1:34">
      <c r="A28" s="65" t="s">
        <v>7</v>
      </c>
      <c r="B28" s="66"/>
      <c r="C28" s="67"/>
      <c r="D28" s="68"/>
      <c r="E28" s="66">
        <f>SUM(E22:E27)</f>
        <v>10</v>
      </c>
      <c r="F28" s="68"/>
      <c r="G28" s="69">
        <f>SUM(G22:G27)</f>
        <v>3</v>
      </c>
      <c r="H28" s="68"/>
      <c r="I28" s="69">
        <f>SUM(I22:I27)</f>
        <v>6</v>
      </c>
      <c r="J28" s="68"/>
      <c r="K28" s="69">
        <f>SUM(K22:K27)</f>
        <v>1</v>
      </c>
      <c r="L28" s="68"/>
      <c r="M28" s="69">
        <f>SUM(M22:M27)</f>
        <v>2</v>
      </c>
      <c r="N28" s="68"/>
      <c r="O28" s="69">
        <f>SUM(O22:O27)</f>
        <v>1</v>
      </c>
      <c r="P28" s="68"/>
      <c r="Q28" s="69">
        <f>SUM(Q22:Q27)</f>
        <v>8</v>
      </c>
      <c r="R28" s="68"/>
      <c r="S28" s="69">
        <f>SUM(S22:S27)</f>
        <v>4</v>
      </c>
      <c r="T28" s="68"/>
      <c r="U28" s="69">
        <f>SUM(U22:U27)</f>
        <v>2</v>
      </c>
      <c r="V28" s="68"/>
      <c r="W28" s="69">
        <f>SUM(W22:W27)</f>
        <v>2</v>
      </c>
      <c r="X28" s="70"/>
      <c r="Y28" s="70"/>
      <c r="Z28" s="70"/>
    </row>
    <row r="29" ht="16.9" customHeight="1" spans="1:34">
      <c r="A29" s="71"/>
      <c r="B29" s="72"/>
      <c r="C29" s="73"/>
      <c r="D29" s="74"/>
      <c r="E29" s="75"/>
      <c r="F29" s="74"/>
      <c r="G29" s="74"/>
      <c r="H29" s="74"/>
      <c r="I29" s="74"/>
      <c r="J29" s="74"/>
      <c r="K29" s="76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</row>
    <row r="30" ht="16.9" customHeight="1" spans="1:34">
      <c r="A30" s="47"/>
      <c r="B30" s="77"/>
      <c r="C30" s="78"/>
      <c r="D30" s="38"/>
      <c r="E30" s="79"/>
      <c r="F30" s="38"/>
      <c r="G30" s="38"/>
      <c r="H30" s="38"/>
      <c r="I30" s="38"/>
      <c r="J30" s="38"/>
      <c r="K30" s="80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</row>
    <row r="31" ht="16.9" customHeight="1"/>
    <row r="32" ht="16.9" customHeight="1"/>
    <row r="33" ht="16.9" customHeight="1"/>
    <row r="34" ht="16.9" customHeight="1"/>
  </sheetData>
  <mergeCells count="16">
    <mergeCell ref="A1:W1"/>
    <mergeCell ref="A3:AE3"/>
    <mergeCell ref="A4:AE4"/>
    <mergeCell ref="D6:W6"/>
    <mergeCell ref="AA6:AF6"/>
    <mergeCell ref="A21:B21"/>
    <mergeCell ref="A22:B22"/>
    <mergeCell ref="A23:B23"/>
    <mergeCell ref="A24:B24"/>
    <mergeCell ref="A25:B25"/>
    <mergeCell ref="A26:B26"/>
    <mergeCell ref="A27:B27"/>
    <mergeCell ref="A28:B28"/>
    <mergeCell ref="A6:A7"/>
    <mergeCell ref="B6:B7"/>
    <mergeCell ref="C6:C7"/>
  </mergeCells>
  <pageMargins left="0.25" right="0.25" top="0.75" bottom="0.75" header="0.3" footer="0.3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GRADE 6 A</vt:lpstr>
      <vt:lpstr>GRADE 6 B</vt:lpstr>
      <vt:lpstr>GRADE 7  A</vt:lpstr>
      <vt:lpstr>GRADE 7 B</vt:lpstr>
      <vt:lpstr>GRADE 7 C</vt:lpstr>
      <vt:lpstr>GRADE 8 A</vt:lpstr>
      <vt:lpstr>GRADE 8 B</vt:lpstr>
      <vt:lpstr>GRADE 8 C</vt:lpstr>
      <vt:lpstr>GRADE 9  A</vt:lpstr>
      <vt:lpstr>GRADE 9  B</vt:lpstr>
      <vt:lpstr>GRADE 9 C</vt:lpstr>
      <vt:lpstr>GRADE 10A</vt:lpstr>
      <vt:lpstr>GRADE 10B</vt:lpstr>
      <vt:lpstr>GRADE 10C</vt:lpstr>
      <vt:lpstr>GRADE 11A</vt:lpstr>
      <vt:lpstr>GRADE 11B</vt:lpstr>
      <vt:lpstr>GRADE 12</vt:lpstr>
      <vt:lpstr>GRADE 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Dhanushka Chathurangani</dc:creator>
  <cp:lastModifiedBy>Dell</cp:lastModifiedBy>
  <dcterms:created xsi:type="dcterms:W3CDTF">2026-02-24T08:41:00Z</dcterms:created>
  <cp:lastPrinted>2026-08-06T05:42:00Z</cp:lastPrinted>
  <dcterms:modified xsi:type="dcterms:W3CDTF">2026-09-11T06:19:53Z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95F9C28DE548478AA61A4DBF1D5BAC9B_12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